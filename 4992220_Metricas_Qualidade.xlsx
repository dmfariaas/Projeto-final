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64a154459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cadores" sheetId="1" r:id="Rb6658480024647da"/>
    <x:sheet xmlns:r="http://schemas.openxmlformats.org/officeDocument/2006/relationships" name="Testes" sheetId="2" r:id="Raeb9d3f53a5a4a16"/>
    <x:sheet xmlns:r="http://schemas.openxmlformats.org/officeDocument/2006/relationships" name="Carga" sheetId="3" r:id="R255b10aea7f4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4A"/>
      </x:patternFill>
    </x:fill>
    <x:fill>
      <x:patternFill patternType="solid">
        <x:fgColor rgb="FFFFF4D8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4D8"/>
        </x:patternFill>
      </x:fill>
    </x:dxf>
    <x:dxf>
      <x:font>
        <x:color rgb="FF9E2929"/>
      </x:font>
      <x:fill>
        <x:patternFill patternType="solid">
          <x:bgColor rgb="FFFDE7E3"/>
        </x:patternFill>
      </x:fill>
    </x:dxf>
    <x:dxf>
      <x:font>
        <x:color rgb="FF9E2929"/>
      </x:font>
      <x:fill>
        <x:patternFill patternType="solid">
          <x:bgColor rgb="FFFDE7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423feea6b4287" /><Relationship Type="http://schemas.openxmlformats.org/officeDocument/2006/relationships/theme" Target="/xl/theme/theme1.xml" Id="R9ccb534ac8884ac2" /><Relationship Type="http://schemas.openxmlformats.org/officeDocument/2006/relationships/sharedStrings" Target="/xl/sharedStrings.xml" Id="R161dfb98845d42fa" /><Relationship Type="http://schemas.openxmlformats.org/officeDocument/2006/relationships/worksheet" Target="/xl/worksheets/sheet1.xml" Id="Rb6658480024647da" /><Relationship Type="http://schemas.openxmlformats.org/officeDocument/2006/relationships/worksheet" Target="/xl/worksheets/sheet2.xml" Id="Raeb9d3f53a5a4a16" /><Relationship Type="http://schemas.openxmlformats.org/officeDocument/2006/relationships/worksheet" Target="/xl/worksheets/sheet3.xml" Id="R255b10aea7f44ed3" /></Relationships>
</file>

<file path=xl/theme/theme1.xml><?xml version="1.0" encoding="utf-8"?>
<a:theme xmlns:a="http://schemas.openxmlformats.org/drawingml/2006/main" name="Raizes do Nordeste">
  <a:themeElements>
    <a:clrScheme name="Raizes do Nordest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aizes do Nordest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9" hidden="0" customWidth="1"/>
    <x:col min="3" max="3" width="18" hidden="0" customWidth="1"/>
    <x:col min="4" max="4" width="37" hidden="0" customWidth="1"/>
    <x:col min="5" max="5" width="23" hidden="0" customWidth="1"/>
    <x:col min="6" max="6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Métricas de qualidade</x:v>
      </x:c>
      <x:c r="B2" s="2"/>
      <x:c r="C2" s="2"/>
      <x:c r="D2" s="2"/>
      <x:c r="E2" s="2"/>
      <x:c r="F2" s="2"/>
      <x:c r="G2" s="2"/>
      <x:c r="H2" s="2"/>
    </x:row>
    <x:row r="3">
      <x:c r="A3" s="2" t="str">
        <x:v>Diego Monteiro de Farias · RU 4992220 · execução local em 24/09/2026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Indicador</x:v>
      </x:c>
      <x:c r="B5" s="6" t="str">
        <x:v>Resultado</x:v>
      </x:c>
      <x:c r="C5" s="6" t="str">
        <x:v>Unidade</x:v>
      </x:c>
      <x:c r="D5" s="6" t="str">
        <x:v>Meta proposta</x:v>
      </x:c>
      <x:c r="E5" s="6" t="str">
        <x:v>Situação</x:v>
      </x:c>
      <x:c r="F5" s="6" t="str">
        <x:v>Escopo da medição</x:v>
      </x:c>
      <x:c r="G5" s="2"/>
      <x:c r="H5" s="2"/>
    </x:row>
    <x:row r="6" ht="48" customHeight="1">
      <x:c r="A6" s="11" t="str">
        <x:v>Defeitos abertos por versão</x:v>
      </x:c>
      <x:c r="B6" s="11" t="n">
        <x:f>IF(OR(ISBLANK(B23),ISBLANK(B24),B24=0),"Não medido",IF(OR(NOT(ISNUMBER(B23)),NOT(ISNUMBER(B24)),B23&lt;0,B24&lt;0),"Entrada inválida",B23/B24))</x:f>
        <x:v>0</x:v>
      </x:c>
      <x:c r="C6" s="11" t="str">
        <x:v>defeitos/versão</x:v>
      </x:c>
      <x:c r="D6" s="11" t="n">
        <x:v>0</x:v>
      </x:c>
      <x:c r="E6" s="11" t="str">
        <x:f>IF(ISNUMBER(B6),IF(B6&lt;=D6,"Atende no recorte","Não atende"),IF(B6="Entrada inválida","Corrigir entrada","Pendente"))</x:f>
        <x:v>Atende no recorte</x:v>
      </x:c>
      <x:c r="F6" s="11" t="str">
        <x:v>Nenhum defeito conhecido em aberto</x:v>
      </x:c>
      <x:c r="G6" s="2"/>
      <x:c r="H6" s="2"/>
    </x:row>
    <x:row r="7" ht="48" customHeight="1">
      <x:c r="A7" s="11" t="str">
        <x:v>Cobertura funcional automatizada</x:v>
      </x:c>
      <x:c r="B7" s="12" t="n">
        <x:f>IF(OR(ISBLANK(B25),ISBLANK(B26),B26=0),"Não medido",IF(OR(NOT(ISNUMBER(B25)),NOT(ISNUMBER(B26)),B25&lt;0,B26&lt;0,B25&gt;B26),"Entrada inválida",B25/B26))</x:f>
        <x:v>1</x:v>
      </x:c>
      <x:c r="C7" s="11" t="str">
        <x:v>fração</x:v>
      </x:c>
      <x:c r="D7" s="12" t="n">
        <x:v>1</x:v>
      </x:c>
      <x:c r="E7" s="11" t="str">
        <x:f>IF(ISNUMBER(B7),IF(B7&gt;=D7,"Atende no recorte","Não atende"),IF(B7="Entrada inválida","Corrigir entrada","Pendente"))</x:f>
        <x:v>Atende no recorte</x:v>
      </x:c>
      <x:c r="F7" s="11" t="str">
        <x:v>8 RF com pelo menos um teste</x:v>
      </x:c>
      <x:c r="G7" s="2"/>
      <x:c r="H7" s="2"/>
    </x:row>
    <x:row r="8" ht="48" customHeight="1">
      <x:c r="A8" s="11" t="str">
        <x:v>Tempo médio de resposta</x:v>
      </x:c>
      <x:c r="B8" s="13" t="n">
        <x:f>AVERAGE(Carga!B6:B205)</x:f>
        <x:v>58.867425000000004</x:v>
      </x:c>
      <x:c r="C8" s="11" t="str">
        <x:v>ms</x:v>
      </x:c>
      <x:c r="D8" s="11" t="n">
        <x:v>2000</x:v>
      </x:c>
      <x:c r="E8" s="11" t="str">
        <x:f>IF(ISNUMBER(B8),IF(B8&lt;=D8,"Atende no recorte","Não atende"),IF(B8="Entrada inválida","Corrigir entrada","Pendente"))</x:f>
        <x:v>Atende no recorte</x:v>
      </x:c>
      <x:c r="F8" s="11" t="str">
        <x:v>200 pedidos HTTP locais</x:v>
      </x:c>
      <x:c r="G8" s="2"/>
      <x:c r="H8" s="2"/>
    </x:row>
    <x:row r="9" ht="48" customHeight="1">
      <x:c r="A9" s="11" t="str">
        <x:v>Disponibilidade mensal</x:v>
      </x:c>
      <x:c r="B9" s="12" t="str">
        <x:f>IF(OR(ISBLANK(B28),ISBLANK(B27),B27=0),"Não medido",IF(OR(NOT(ISNUMBER(B28)),NOT(ISNUMBER(B27)),B28&lt;0,B27&lt;0,B28&gt;B27),"Entrada inválida",B28/B27))</x:f>
        <x:v>Não medido</x:v>
      </x:c>
      <x:c r="C9" s="11" t="str">
        <x:v>fração</x:v>
      </x:c>
      <x:c r="D9" s="12" t="n">
        <x:v>0.995</x:v>
      </x:c>
      <x:c r="E9" s="11" t="str">
        <x:f>IF(ISNUMBER(B9),IF(B9&gt;=D9,"Atende","Não atende"),IF(B9="Entrada inválida","Corrigir entrada","Pendente"))</x:f>
        <x:v>Pendente</x:v>
      </x:c>
      <x:c r="F9" s="11" t="str">
        <x:v>Sem ambiente monitorado por um mês</x:v>
      </x:c>
      <x:c r="G9" s="2"/>
      <x:c r="H9" s="2"/>
    </x:row>
    <x:row r="10" ht="48" customHeight="1">
      <x:c r="A10" s="11" t="str">
        <x:v>Satisfação do usuário</x:v>
      </x:c>
      <x:c r="B10" s="12" t="str">
        <x:f>IF(OR(ISBLANK(B30),ISBLANK(B29),B29=0),"Não medido",IF(OR(NOT(ISNUMBER(B30)),NOT(ISNUMBER(B29)),B30&lt;0,B29&lt;0,B30&gt;B29),"Entrada inválida",B30/B29))</x:f>
        <x:v>Não medido</x:v>
      </x:c>
      <x:c r="C10" s="11" t="str">
        <x:v>fração</x:v>
      </x:c>
      <x:c r="D10" s="12" t="n">
        <x:v>0.85</x:v>
      </x:c>
      <x:c r="E10" s="11" t="str">
        <x:f>IF(ISNUMBER(B10),IF(B10&gt;=D10,"Atende","Não atende"),IF(B10="Entrada inválida","Corrigir entrada","Pendente"))</x:f>
        <x:v>Pendente</x:v>
      </x:c>
      <x:c r="F10" s="11" t="str">
        <x:v>Pesquisa com pessoas ainda não realizada</x:v>
      </x:c>
      <x:c r="G10" s="2"/>
      <x:c r="H10" s="2"/>
    </x:row>
    <x:row r="11" ht="48" customHeight="1">
      <x:c r="A11" s="11" t="str">
        <x:v>Tempo médio de correção</x:v>
      </x:c>
      <x:c r="B11" s="13" t="n">
        <x:f>IF(OR(ISBLANK(B31),ISBLANK(B32),B32=0),"Não medido",IF(OR(NOT(ISNUMBER(B31)),NOT(ISNUMBER(B32)),B31&lt;0,B32&lt;0),"Entrada inválida",B31/B32))</x:f>
        <x:v>0.3348426635064019</x:v>
      </x:c>
      <x:c r="C11" s="11" t="str">
        <x:v>horas</x:v>
      </x:c>
      <x:c r="D11" s="11" t="n">
        <x:v>24</x:v>
      </x:c>
      <x:c r="E11" s="11" t="str">
        <x:f>IF(ISNUMBER(B11),IF(B11&lt;=D11,"Atende no recorte","Não atende"),IF(B11="Entrada inválida","Corrigir entrada","Pendente"))</x:f>
        <x:v>Atende no recorte</x:v>
      </x:c>
      <x:c r="F11" s="11" t="str">
        <x:v>D01, ciclo inicial. Uma correção medida</x:v>
      </x:c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 ht="32" customHeight="1">
      <x:c r="A15" s="6" t="str">
        <x:v>Medição complementar</x:v>
      </x:c>
      <x:c r="B15" s="6" t="str">
        <x:v>Resultado</x:v>
      </x:c>
      <x:c r="C15" s="6" t="str">
        <x:v>Unidade</x:v>
      </x:c>
      <x:c r="D15" s="6" t="str">
        <x:v>Condição</x:v>
      </x:c>
      <x:c r="E15" s="2"/>
      <x:c r="F15" s="2"/>
      <x:c r="G15" s="2"/>
      <x:c r="H15" s="2"/>
    </x:row>
    <x:row r="16">
      <x:c r="A16" s="2" t="str">
        <x:v>Testes aprovados</x:v>
      </x:c>
      <x:c r="B16" s="2" t="n">
        <x:f>COUNTIF(Testes!C6:C75,"APROVADO")</x:f>
        <x:v>70</x:v>
      </x:c>
      <x:c r="C16" s="2" t="str">
        <x:v>casos</x:v>
      </x:c>
      <x:c r="D16" s="2" t="str">
        <x:v>52 Python e 18 navegador</x:v>
      </x:c>
      <x:c r="E16" s="2"/>
      <x:c r="F16" s="2"/>
      <x:c r="G16" s="2"/>
      <x:c r="H16" s="2"/>
    </x:row>
    <x:row r="17">
      <x:c r="A17" s="2" t="str">
        <x:v>P95 da resposta</x:v>
      </x:c>
      <x:c r="B17" s="8" t="n">
        <x:v>208.004</x:v>
      </x:c>
      <x:c r="C17" s="2" t="str">
        <x:v>ms</x:v>
      </x:c>
      <x:c r="D17" s="2" t="str">
        <x:v>Posto mais próximo: 190º de 200</x:v>
      </x:c>
      <x:c r="E17" s="2"/>
      <x:c r="F17" s="2"/>
      <x:c r="G17" s="2"/>
      <x:c r="H17" s="2"/>
    </x:row>
    <x:row r="18">
      <x:c r="A18" s="2" t="str">
        <x:v>Respostas confirmadas</x:v>
      </x:c>
      <x:c r="B18" s="7" t="n">
        <x:f>SUM(Carga!C6:C205)/COUNT(Carga!C6:C205)</x:f>
        <x:v>1</x:v>
      </x:c>
      <x:c r="C18" s="2" t="str">
        <x:v>fração</x:v>
      </x:c>
      <x:c r="D18" s="2" t="str">
        <x:v>Pagamento simulado sem latência</x:v>
      </x:c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 ht="32" customHeight="1">
      <x:c r="A22" s="6" t="str">
        <x:v>Entradas para os indicadores</x:v>
      </x:c>
      <x:c r="B22" s="6" t="str">
        <x:v>Valor</x:v>
      </x:c>
      <x:c r="C22" s="6" t="str">
        <x:v>Unidade</x:v>
      </x:c>
      <x:c r="D22" s="6" t="str">
        <x:v>Origem ou observação</x:v>
      </x:c>
      <x:c r="E22" s="2"/>
      <x:c r="F22" s="2"/>
      <x:c r="G22" s="2"/>
      <x:c r="H22" s="2"/>
    </x:row>
    <x:row r="23" ht="44" customHeight="1">
      <x:c r="A23" s="11" t="str">
        <x:v>Defeitos abertos</x:v>
      </x:c>
      <x:c r="B23" s="14" t="n">
        <x:v>0</x:v>
      </x:c>
      <x:c r="C23" s="11" t="str">
        <x:v>defeitos</x:v>
      </x:c>
      <x:c r="D23" s="11" t="str">
        <x:v>Nenhum defeito conhecido em aberto nesta revisão</x:v>
      </x:c>
      <x:c r="E23" s="2"/>
      <x:c r="F23" s="2"/>
      <x:c r="G23" s="2"/>
      <x:c r="H23" s="2"/>
    </x:row>
    <x:row r="24" ht="44" customHeight="1">
      <x:c r="A24" s="11" t="str">
        <x:v>Versões avaliadas</x:v>
      </x:c>
      <x:c r="B24" s="14" t="n">
        <x:v>1</x:v>
      </x:c>
      <x:c r="C24" s="11" t="str">
        <x:v>versão</x:v>
      </x:c>
      <x:c r="D24" s="11" t="str">
        <x:v>Revisão local v0.4</x:v>
      </x:c>
      <x:c r="E24" s="2"/>
      <x:c r="F24" s="2"/>
      <x:c r="G24" s="2"/>
      <x:c r="H24" s="2"/>
    </x:row>
    <x:row r="25" ht="44" customHeight="1">
      <x:c r="A25" s="11" t="str">
        <x:v>RF com testes automatizados</x:v>
      </x:c>
      <x:c r="B25" s="14" t="n">
        <x:v>8</x:v>
      </x:c>
      <x:c r="C25" s="11" t="str">
        <x:v>RF</x:v>
      </x:c>
      <x:c r="D25" s="11" t="str">
        <x:v>Matriz de rastreabilidade no relatório</x:v>
      </x:c>
      <x:c r="E25" s="2"/>
      <x:c r="F25" s="2"/>
      <x:c r="G25" s="2"/>
      <x:c r="H25" s="2"/>
    </x:row>
    <x:row r="26" ht="44" customHeight="1">
      <x:c r="A26" s="11" t="str">
        <x:v>RF no escopo</x:v>
      </x:c>
      <x:c r="B26" s="14" t="n">
        <x:v>8</x:v>
      </x:c>
      <x:c r="C26" s="11" t="str">
        <x:v>RF</x:v>
      </x:c>
      <x:c r="D26" s="11" t="str">
        <x:v>RF01 a RF08</x:v>
      </x:c>
      <x:c r="E26" s="2"/>
      <x:c r="F26" s="2"/>
      <x:c r="G26" s="2"/>
      <x:c r="H26" s="2"/>
    </x:row>
    <x:row r="27" ht="44" customHeight="1">
      <x:c r="A27" s="11" t="str">
        <x:v>Verificações previstas no mês</x:v>
      </x:c>
      <x:c r="B27" s="14"/>
      <x:c r="C27" s="11" t="str">
        <x:v>verificações</x:v>
      </x:c>
      <x:c r="D27" s="11" t="str">
        <x:v>Uma verificação por minuto no mês completo</x:v>
      </x:c>
      <x:c r="E27" s="2"/>
      <x:c r="F27" s="2"/>
      <x:c r="G27" s="2"/>
      <x:c r="H27" s="2"/>
    </x:row>
    <x:row r="28" ht="44" customHeight="1">
      <x:c r="A28" s="11" t="str">
        <x:v>Verificações com serviço disponível</x:v>
      </x:c>
      <x:c r="B28" s="14"/>
      <x:c r="C28" s="11" t="str">
        <x:v>verificações</x:v>
      </x:c>
      <x:c r="D28" s="11" t="str">
        <x:v>Lacunas e falhas não contam como serviço disponível</x:v>
      </x:c>
      <x:c r="E28" s="2"/>
      <x:c r="F28" s="2"/>
      <x:c r="G28" s="2"/>
      <x:c r="H28" s="2"/>
    </x:row>
    <x:row r="29" ht="44" customHeight="1">
      <x:c r="A29" s="11" t="str">
        <x:v>Respostas à pesquisa</x:v>
      </x:c>
      <x:c r="B29" s="14"/>
      <x:c r="C29" s="11" t="str">
        <x:v>pessoas</x:v>
      </x:c>
      <x:c r="D29" s="11" t="str">
        <x:v>Preencher após UAT e pesquisa</x:v>
      </x:c>
      <x:c r="E29" s="2"/>
      <x:c r="F29" s="2"/>
      <x:c r="G29" s="2"/>
      <x:c r="H29" s="2"/>
    </x:row>
    <x:row r="30" ht="44" customHeight="1">
      <x:c r="A30" s="11" t="str">
        <x:v>Respostas satisfeitas</x:v>
      </x:c>
      <x:c r="B30" s="14"/>
      <x:c r="C30" s="11" t="str">
        <x:v>pessoas</x:v>
      </x:c>
      <x:c r="D30" s="11" t="str">
        <x:v>Notas 4 ou 5 numa escala de 1 a 5</x:v>
      </x:c>
      <x:c r="E30" s="2"/>
      <x:c r="F30" s="2"/>
      <x:c r="G30" s="2"/>
      <x:c r="H30" s="2"/>
    </x:row>
    <x:row r="31" ht="44" customHeight="1">
      <x:c r="A31" s="11" t="str">
        <x:v>Soma do tempo de correção</x:v>
      </x:c>
      <x:c r="B31" s="15" t="n">
        <x:v>0.3348426635064019</x:v>
      </x:c>
      <x:c r="C31" s="11" t="str">
        <x:v>horas</x:v>
      </x:c>
      <x:c r="D31" s="11" t="str">
        <x:v>D01, ciclo inicial. Fechamento original preservado</x:v>
      </x:c>
      <x:c r="E31" s="2"/>
      <x:c r="F31" s="2"/>
      <x:c r="G31" s="2"/>
      <x:c r="H31" s="2"/>
    </x:row>
    <x:row r="32" ht="44" customHeight="1">
      <x:c r="A32" s="11" t="str">
        <x:v>Defeitos corrigidos medidos</x:v>
      </x:c>
      <x:c r="B32" s="14" t="n">
        <x:v>1</x:v>
      </x:c>
      <x:c r="C32" s="11" t="str">
        <x:v>defeitos</x:v>
      </x:c>
      <x:c r="D32" s="11" t="str">
        <x:v>Somente D01, ciclo inicial. Amostra n=1</x:v>
      </x:c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 t="str">
        <x:v>Células amarelas são entradas. Dados ausentes permanecem como Não medido.</x:v>
      </x:c>
      <x:c r="B35" s="2"/>
      <x:c r="C35" s="2"/>
      <x:c r="D35" s="2"/>
      <x:c r="E35" s="2"/>
      <x:c r="F35" s="2"/>
      <x:c r="G35" s="2"/>
      <x:c r="H35" s="2"/>
    </x:row>
    <x:row r="36">
      <x:c r="A36" s="2" t="str">
        <x:v>Cobertura funcional não representa cobertura de linhas, ramos ou todas as regras.</x:v>
      </x:c>
      <x:c r="B36" s="2"/>
      <x:c r="C36" s="2"/>
      <x:c r="D36" s="2"/>
      <x:c r="E36" s="2"/>
      <x:c r="F36" s="2"/>
      <x:c r="G36" s="2"/>
      <x:c r="H36" s="2"/>
    </x:row>
    <x:row r="37">
      <x:c r="A37" s="2" t="str">
        <x:v>P95 é uma medição importada. Ao repetir a carga, atualize o valor com o novo relatório.</x:v>
      </x:c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conditionalFormatting sqref="E6:E11">
    <x:cfRule type="containsText" dxfId="0" priority="1" operator="containsText" text="Pendente"/>
    <x:cfRule type="containsText" dxfId="1" priority="2" operator="containsText" text="Não atende"/>
    <x:cfRule type="containsText" dxfId="2" priority="3" operator="containsText" text="Corrigir entrada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88" hidden="0" customWidth="1"/>
    <x:col min="3" max="3" width="18" hidden="0" customWidth="1"/>
    <x:col min="4" max="4" width="1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Execuções automatizadas</x:v>
      </x:c>
      <x:c r="B2" s="2"/>
      <x:c r="C2" s="2"/>
      <x:c r="D2" s="2"/>
      <x:c r="E2" s="2"/>
      <x:c r="F2" s="2"/>
      <x:c r="G2" s="2"/>
      <x:c r="H2" s="2"/>
    </x:row>
    <x:row r="3">
      <x:c r="A3" s="2" t="str">
        <x:v>Fonte: evidencias/testes.json e evidencias/interface.json. Tempos de caso não são latência de API.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ID</x:v>
      </x:c>
      <x:c r="B5" s="6" t="str">
        <x:v>Cenário</x:v>
      </x:c>
      <x:c r="C5" s="6" t="str">
        <x:v>Resultado</x:v>
      </x:c>
      <x:c r="D5" s="6" t="str">
        <x:v>Duração (ms)</x:v>
      </x:c>
      <x:c r="E5" s="2"/>
      <x:c r="F5" s="2"/>
      <x:c r="G5" s="2"/>
      <x:c r="H5" s="2"/>
    </x:row>
    <x:row r="6" ht="36" customHeight="1">
      <x:c r="A6" s="2" t="str">
        <x:v>CC01</x:v>
      </x:c>
      <x:c r="B6" s="11" t="str">
        <x:v>50 tentativas concorrentes com a mesma chave geram um pedido.</x:v>
      </x:c>
      <x:c r="C6" s="2" t="str">
        <x:v>APROVADO</x:v>
      </x:c>
      <x:c r="D6" s="8" t="n">
        <x:v>594.193</x:v>
      </x:c>
      <x:c r="E6" s="2"/>
      <x:c r="F6" s="2"/>
      <x:c r="G6" s="2"/>
      <x:c r="H6" s="2"/>
    </x:row>
    <x:row r="7" ht="36" customHeight="1">
      <x:c r="A7" s="2" t="str">
        <x:v>CC02</x:v>
      </x:c>
      <x:c r="B7" s="11" t="str">
        <x:v>50 tentativas disputam dez unidades: dez aprovações e quarenta recusas de estoque.</x:v>
      </x:c>
      <x:c r="C7" s="2" t="str">
        <x:v>APROVADO</x:v>
      </x:c>
      <x:c r="D7" s="8" t="n">
        <x:v>462.797</x:v>
      </x:c>
      <x:c r="E7" s="2"/>
      <x:c r="F7" s="2"/>
      <x:c r="G7" s="2"/>
      <x:c r="H7" s="2"/>
    </x:row>
    <x:row r="8" ht="36" customHeight="1">
      <x:c r="A8" s="2" t="str">
        <x:v>RG02</x:v>
      </x:c>
      <x:c r="B8" s="11" t="str">
        <x:v>Falhas em subtestes e na limpeza geram um único resultado por método.</x:v>
      </x:c>
      <x:c r="C8" s="2" t="str">
        <x:v>APROVADO</x:v>
      </x:c>
      <x:c r="D8" s="8" t="n">
        <x:v>4.383</x:v>
      </x:c>
      <x:c r="E8" s="2"/>
      <x:c r="F8" s="2"/>
      <x:c r="G8" s="2"/>
      <x:c r="H8" s="2"/>
    </x:row>
    <x:row r="9" ht="36" customHeight="1">
      <x:c r="A9" s="2" t="str">
        <x:v>RG03</x:v>
      </x:c>
      <x:c r="B9" s="11" t="str">
        <x:v>Falha de rede no ensaio de carga salva detalhes e encerra com erro.</x:v>
      </x:c>
      <x:c r="C9" s="2" t="str">
        <x:v>APROVADO</x:v>
      </x:c>
      <x:c r="D9" s="8" t="n">
        <x:v>585.628</x:v>
      </x:c>
      <x:c r="E9" s="2"/>
      <x:c r="F9" s="2"/>
      <x:c r="G9" s="2"/>
      <x:c r="H9" s="2"/>
    </x:row>
    <x:row r="10" ht="36" customHeight="1">
      <x:c r="A10" s="2" t="str">
        <x:v>API01</x:v>
      </x:c>
      <x:c r="B10" s="11" t="str">
        <x:v>POST retorna 201; GET recupera os mesmos valores; repetição retorna 200.</x:v>
      </x:c>
      <x:c r="C10" s="2" t="str">
        <x:v>APROVADO</x:v>
      </x:c>
      <x:c r="D10" s="8" t="n">
        <x:v>562.718</x:v>
      </x:c>
      <x:c r="E10" s="2"/>
      <x:c r="F10" s="2"/>
      <x:c r="G10" s="2"/>
      <x:c r="H10" s="2"/>
    </x:row>
    <x:row r="11" ht="36" customHeight="1">
      <x:c r="A11" s="2" t="str">
        <x:v>API02</x:v>
      </x:c>
      <x:c r="B11" s="11" t="str">
        <x:v>POST sem sessão retorna 401 e não cria pedido.</x:v>
      </x:c>
      <x:c r="C11" s="2" t="str">
        <x:v>APROVADO</x:v>
      </x:c>
      <x:c r="D11" s="8" t="n">
        <x:v>525.331</x:v>
      </x:c>
      <x:c r="E11" s="2"/>
      <x:c r="F11" s="2"/>
      <x:c r="G11" s="2"/>
      <x:c r="H11" s="2"/>
    </x:row>
    <x:row r="12" ht="36" customHeight="1">
      <x:c r="A12" s="2" t="str">
        <x:v>API03</x:v>
      </x:c>
      <x:c r="B12" s="11" t="str">
        <x:v>JSON malformado retorna 400.</x:v>
      </x:c>
      <x:c r="C12" s="2" t="str">
        <x:v>APROVADO</x:v>
      </x:c>
      <x:c r="D12" s="8" t="n">
        <x:v>515.63</x:v>
      </x:c>
      <x:c r="E12" s="2"/>
      <x:c r="F12" s="2"/>
      <x:c r="G12" s="2"/>
      <x:c r="H12" s="2"/>
    </x:row>
    <x:row r="13" ht="36" customHeight="1">
      <x:c r="A13" s="2" t="str">
        <x:v>API04</x:v>
      </x:c>
      <x:c r="B13" s="11" t="str">
        <x:v>CPF e outros campos não previstos são rejeitados com 422.</x:v>
      </x:c>
      <x:c r="C13" s="2" t="str">
        <x:v>APROVADO</x:v>
      </x:c>
      <x:c r="D13" s="8" t="n">
        <x:v>529.149</x:v>
      </x:c>
      <x:c r="E13" s="2"/>
      <x:c r="F13" s="2"/>
      <x:c r="G13" s="2"/>
      <x:c r="H13" s="2"/>
    </x:row>
    <x:row r="14" ht="36" customHeight="1">
      <x:c r="A14" s="2" t="str">
        <x:v>API05</x:v>
      </x:c>
      <x:c r="B14" s="11" t="str">
        <x:v>Corpo acima de 16 KB retorna 413.</x:v>
      </x:c>
      <x:c r="C14" s="2" t="str">
        <x:v>APROVADO</x:v>
      </x:c>
      <x:c r="D14" s="8" t="n">
        <x:v>530.112</x:v>
      </x:c>
      <x:c r="E14" s="2"/>
      <x:c r="F14" s="2"/>
      <x:c r="G14" s="2"/>
      <x:c r="H14" s="2"/>
    </x:row>
    <x:row r="15" ht="36" customHeight="1">
      <x:c r="A15" s="2" t="str">
        <x:v>API06</x:v>
      </x:c>
      <x:c r="B15" s="11" t="str">
        <x:v>Catálogo correto e cabeçalhos no-store, nosniff e DENY.</x:v>
      </x:c>
      <x:c r="C15" s="2" t="str">
        <x:v>APROVADO</x:v>
      </x:c>
      <x:c r="D15" s="8" t="n">
        <x:v>529.396</x:v>
      </x:c>
      <x:c r="E15" s="2"/>
      <x:c r="F15" s="2"/>
      <x:c r="G15" s="2"/>
      <x:c r="H15" s="2"/>
    </x:row>
    <x:row r="16" ht="36" customHeight="1">
      <x:c r="A16" s="2" t="str">
        <x:v>API07</x:v>
      </x:c>
      <x:c r="B16" s="11" t="str">
        <x:v>Conferência exige sessão e proprietário, valida corpo e retorna 200 com replay explícito.</x:v>
      </x:c>
      <x:c r="C16" s="2" t="str">
        <x:v>APROVADO</x:v>
      </x:c>
      <x:c r="D16" s="8" t="n">
        <x:v>603.68</x:v>
      </x:c>
      <x:c r="E16" s="2"/>
      <x:c r="F16" s="2"/>
      <x:c r="G16" s="2"/>
      <x:c r="H16" s="2"/>
    </x:row>
    <x:row r="17" ht="36" customHeight="1">
      <x:c r="A17" s="2" t="str">
        <x:v>API08</x:v>
      </x:c>
      <x:c r="B17" s="11" t="str">
        <x:v>Banco ou arquivo local indisponível retorna 503 sem detalhes internos e permite recuperação.</x:v>
      </x:c>
      <x:c r="C17" s="2" t="str">
        <x:v>APROVADO</x:v>
      </x:c>
      <x:c r="D17" s="8" t="n">
        <x:v>560.774</x:v>
      </x:c>
      <x:c r="E17" s="2"/>
      <x:c r="F17" s="2"/>
      <x:c r="G17" s="2"/>
      <x:c r="H17" s="2"/>
    </x:row>
    <x:row r="18" ht="36" customHeight="1">
      <x:c r="A18" s="2" t="str">
        <x:v>RG01</x:v>
      </x:c>
      <x:c r="B18" s="11" t="str">
        <x:v>Credencial não ASCII retorna 401 e preserva a execução do servidor.</x:v>
      </x:c>
      <x:c r="C18" s="2" t="str">
        <x:v>APROVADO</x:v>
      </x:c>
      <x:c r="D18" s="8" t="n">
        <x:v>524.065</x:v>
      </x:c>
      <x:c r="E18" s="2"/>
      <x:c r="F18" s="2"/>
      <x:c r="G18" s="2"/>
      <x:c r="H18" s="2"/>
    </x:row>
    <x:row r="19" ht="36" customHeight="1">
      <x:c r="A19" s="2" t="str">
        <x:v>RG04</x:v>
      </x:c>
      <x:c r="B19" s="11" t="str">
        <x:v>Segunda instância na mesma porta é recusada e a primeira continua saudável.</x:v>
      </x:c>
      <x:c r="C19" s="2" t="str">
        <x:v>APROVADO</x:v>
      </x:c>
      <x:c r="D19" s="8" t="n">
        <x:v>525.211</x:v>
      </x:c>
      <x:c r="E19" s="2"/>
      <x:c r="F19" s="2"/>
      <x:c r="G19" s="2"/>
      <x:c r="H19" s="2"/>
    </x:row>
    <x:row r="20" ht="36" customHeight="1">
      <x:c r="A20" s="2" t="str">
        <x:v>PR01</x:v>
      </x:c>
      <x:c r="B20" s="11" t="str">
        <x:v>Aprovar pendência reduz estoque e soma pontos uma vez; consulta recupera os itens.</x:v>
      </x:c>
      <x:c r="C20" s="2" t="str">
        <x:v>APROVADO</x:v>
      </x:c>
      <x:c r="D20" s="8" t="n">
        <x:v>35.524</x:v>
      </x:c>
      <x:c r="E20" s="2"/>
      <x:c r="F20" s="2"/>
      <x:c r="G20" s="2"/>
      <x:c r="H20" s="2"/>
    </x:row>
    <x:row r="21" ht="36" customHeight="1">
      <x:c r="A21" s="2" t="str">
        <x:v>PR02</x:v>
      </x:c>
      <x:c r="B21" s="11" t="str">
        <x:v>Recusar pendência e repetir a recusa preserva estoque e pontos.</x:v>
      </x:c>
      <x:c r="C21" s="2" t="str">
        <x:v>APROVADO</x:v>
      </x:c>
      <x:c r="D21" s="8" t="n">
        <x:v>28.343</x:v>
      </x:c>
      <x:c r="E21" s="2"/>
      <x:c r="F21" s="2"/>
      <x:c r="G21" s="2"/>
      <x:c r="H21" s="2"/>
    </x:row>
    <x:row r="22" ht="36" customHeight="1">
      <x:c r="A22" s="2" t="str">
        <x:v>PR03</x:v>
      </x:c>
      <x:c r="B22" s="11" t="str">
        <x:v>Uma decisão terminal não pode ser invertida, inclusive em pedidos sem pendência.</x:v>
      </x:c>
      <x:c r="C22" s="2" t="str">
        <x:v>APROVADO</x:v>
      </x:c>
      <x:c r="D22" s="8" t="n">
        <x:v>31.006</x:v>
      </x:c>
      <x:c r="E22" s="2"/>
      <x:c r="F22" s="2"/>
      <x:c r="G22" s="2"/>
      <x:c r="H22" s="2"/>
    </x:row>
    <x:row r="23" ht="36" customHeight="1">
      <x:c r="A23" s="2" t="str">
        <x:v>PR04</x:v>
      </x:c>
      <x:c r="B23" s="11" t="str">
        <x:v>Vinte aprovações simultâneas da mesma pendência têm um único efeito.</x:v>
      </x:c>
      <x:c r="C23" s="2" t="str">
        <x:v>APROVADO</x:v>
      </x:c>
      <x:c r="D23" s="8" t="n">
        <x:v>191.831</x:v>
      </x:c>
      <x:c r="E23" s="2"/>
      <x:c r="F23" s="2"/>
      <x:c r="G23" s="2"/>
      <x:c r="H23" s="2"/>
    </x:row>
    <x:row r="24" ht="36" customHeight="1">
      <x:c r="A24" s="2" t="str">
        <x:v>PR05</x:v>
      </x:c>
      <x:c r="B24" s="11" t="str">
        <x:v>Aprovação e recusa concorrentes encerram a pendência com uma única decisão.</x:v>
      </x:c>
      <x:c r="C24" s="2" t="str">
        <x:v>APROVADO</x:v>
      </x:c>
      <x:c r="D24" s="8" t="n">
        <x:v>30.553</x:v>
      </x:c>
      <x:c r="E24" s="2"/>
      <x:c r="F24" s="2"/>
      <x:c r="G24" s="2"/>
      <x:c r="H24" s="2"/>
    </x:row>
    <x:row r="25" ht="36" customHeight="1">
      <x:c r="A25" s="2" t="str">
        <x:v>PR06</x:v>
      </x:c>
      <x:c r="B25" s="11" t="str">
        <x:v>Duas pendências disputam as últimas dez unidades sem venda acima do estoque.</x:v>
      </x:c>
      <x:c r="C25" s="2" t="str">
        <x:v>APROVADO</x:v>
      </x:c>
      <x:c r="D25" s="8" t="n">
        <x:v>47.265</x:v>
      </x:c>
      <x:c r="E25" s="2"/>
      <x:c r="F25" s="2"/>
      <x:c r="G25" s="2"/>
      <x:c r="H25" s="2"/>
    </x:row>
    <x:row r="26" ht="36" customHeight="1">
      <x:c r="A26" s="2" t="str">
        <x:v>PR07</x:v>
      </x:c>
      <x:c r="B26" s="11" t="str">
        <x:v>Falta de estoque mantém pendência sem baixa parcial e permite recusa posterior.</x:v>
      </x:c>
      <x:c r="C26" s="2" t="str">
        <x:v>APROVADO</x:v>
      </x:c>
      <x:c r="D26" s="8" t="n">
        <x:v>34.911</x:v>
      </x:c>
      <x:c r="E26" s="2"/>
      <x:c r="F26" s="2"/>
      <x:c r="G26" s="2"/>
      <x:c r="H26" s="2"/>
    </x:row>
    <x:row r="27" ht="36" customHeight="1">
      <x:c r="A27" s="2" t="str">
        <x:v>PR08</x:v>
      </x:c>
      <x:c r="B27" s="11" t="str">
        <x:v>Somente o proprietário confere a pendência; pedido inexistente retorna 404.</x:v>
      </x:c>
      <x:c r="C27" s="2" t="str">
        <x:v>APROVADO</x:v>
      </x:c>
      <x:c r="D27" s="8" t="n">
        <x:v>24.519</x:v>
      </x:c>
      <x:c r="E27" s="2"/>
      <x:c r="F27" s="2"/>
      <x:c r="G27" s="2"/>
      <x:c r="H27" s="2"/>
    </x:row>
    <x:row r="28" ht="36" customHeight="1">
      <x:c r="A28" s="2" t="str">
        <x:v>PR09</x:v>
      </x:c>
      <x:c r="B28" s="11" t="str">
        <x:v>A conferência aceita apenas o campo payment com approved ou declined.</x:v>
      </x:c>
      <x:c r="C28" s="2" t="str">
        <x:v>APROVADO</x:v>
      </x:c>
      <x:c r="D28" s="8" t="n">
        <x:v>22.207</x:v>
      </x:c>
      <x:c r="E28" s="2"/>
      <x:c r="F28" s="2"/>
      <x:c r="G28" s="2"/>
      <x:c r="H28" s="2"/>
    </x:row>
    <x:row r="29" ht="36" customHeight="1">
      <x:c r="A29" s="2" t="str">
        <x:v>PR10</x:v>
      </x:c>
      <x:c r="B29" s="11" t="str">
        <x:v>Migração preserva dados; pendência antiga permite recusa e impede aprovação sem itens salvos.</x:v>
      </x:c>
      <x:c r="C29" s="2" t="str">
        <x:v>APROVADO</x:v>
      </x:c>
      <x:c r="D29" s="8" t="n">
        <x:v>53.82</x:v>
      </x:c>
      <x:c r="E29" s="2"/>
      <x:c r="F29" s="2"/>
      <x:c r="G29" s="2"/>
      <x:c r="H29" s="2"/>
    </x:row>
    <x:row r="30" ht="36" customHeight="1">
      <x:c r="A30" s="2" t="str">
        <x:v>PR11</x:v>
      </x:c>
      <x:c r="B30" s="11" t="str">
        <x:v>Reinício recupera pendência de João Pessoa e aprova sem pontos quando a fidelidade está desmarcada.</x:v>
      </x:c>
      <x:c r="C30" s="2" t="str">
        <x:v>APROVADO</x:v>
      </x:c>
      <x:c r="D30" s="8" t="n">
        <x:v>29.394</x:v>
      </x:c>
      <x:c r="E30" s="2"/>
      <x:c r="F30" s="2"/>
      <x:c r="G30" s="2"/>
      <x:c r="H30" s="2"/>
    </x:row>
    <x:row r="31" ht="36" customHeight="1">
      <x:c r="A31" s="2" t="str">
        <x:v>PR12</x:v>
      </x:c>
      <x:c r="B31" s="11" t="str">
        <x:v>Falha ao registrar a transição desfaz estoque, pontos e estado; nova tentativa pode concluir.</x:v>
      </x:c>
      <x:c r="C31" s="2" t="str">
        <x:v>APROVADO</x:v>
      </x:c>
      <x:c r="D31" s="8" t="n">
        <x:v>38.418</x:v>
      </x:c>
      <x:c r="E31" s="2"/>
      <x:c r="F31" s="2"/>
      <x:c r="G31" s="2"/>
      <x:c r="H31" s="2"/>
    </x:row>
    <x:row r="32" ht="36" customHeight="1">
      <x:c r="A32" s="2" t="str">
        <x:v>SE01</x:v>
      </x:c>
      <x:c r="B32" s="11" t="str">
        <x:v>Outro cliente não acessa pedido alheio.</x:v>
      </x:c>
      <x:c r="C32" s="2" t="str">
        <x:v>APROVADO</x:v>
      </x:c>
      <x:c r="D32" s="8" t="n">
        <x:v>19.075</x:v>
      </x:c>
      <x:c r="E32" s="2"/>
      <x:c r="F32" s="2"/>
      <x:c r="G32" s="2"/>
      <x:c r="H32" s="2"/>
    </x:row>
    <x:row r="33" ht="36" customHeight="1">
      <x:c r="A33" s="2" t="str">
        <x:v>SE02</x:v>
      </x:c>
      <x:c r="B33" s="11" t="str">
        <x:v>Operador da unidade incorreta recebe 403; unidade correta consulta.</x:v>
      </x:c>
      <x:c r="C33" s="2" t="str">
        <x:v>APROVADO</x:v>
      </x:c>
      <x:c r="D33" s="8" t="n">
        <x:v>21.209</x:v>
      </x:c>
      <x:c r="E33" s="2"/>
      <x:c r="F33" s="2"/>
      <x:c r="G33" s="2"/>
      <x:c r="H33" s="2"/>
    </x:row>
    <x:row r="34" ht="36" customHeight="1">
      <x:c r="A34" s="2" t="str">
        <x:v>TS01</x:v>
      </x:c>
      <x:c r="B34" s="11" t="str">
        <x:v>Aprovar pedido em APP, WEB, TOTEM, BALCAO e PICKUP.</x:v>
      </x:c>
      <x:c r="C34" s="2" t="str">
        <x:v>APROVADO</x:v>
      </x:c>
      <x:c r="D34" s="8" t="n">
        <x:v>569.854</x:v>
      </x:c>
      <x:c r="E34" s="2"/>
      <x:c r="F34" s="2"/>
      <x:c r="G34" s="2"/>
      <x:c r="H34" s="2"/>
    </x:row>
    <x:row r="35" ht="36" customHeight="1">
      <x:c r="A35" s="2" t="str">
        <x:v>TS02</x:v>
      </x:c>
      <x:c r="B35" s="11" t="str">
        <x:v>Recusa não altera estoque nem concede pontos.</x:v>
      </x:c>
      <x:c r="C35" s="2" t="str">
        <x:v>APROVADO</x:v>
      </x:c>
      <x:c r="D35" s="8" t="n">
        <x:v>531.757</x:v>
      </x:c>
      <x:c r="E35" s="2"/>
      <x:c r="F35" s="2"/>
      <x:c r="G35" s="2"/>
      <x:c r="H35" s="2"/>
    </x:row>
    <x:row r="36" ht="36" customHeight="1">
      <x:c r="A36" s="2" t="str">
        <x:v>TS03</x:v>
      </x:c>
      <x:c r="B36" s="11" t="str">
        <x:v>Timeout fica pendente; repetição preserva o mesmo pedido.</x:v>
      </x:c>
      <x:c r="C36" s="2" t="str">
        <x:v>APROVADO</x:v>
      </x:c>
      <x:c r="D36" s="8" t="n">
        <x:v>527.161</x:v>
      </x:c>
      <x:c r="E36" s="2"/>
      <x:c r="F36" s="2"/>
      <x:c r="G36" s="2"/>
      <x:c r="H36" s="2"/>
    </x:row>
    <x:row r="37" ht="36" customHeight="1">
      <x:c r="A37" s="2" t="str">
        <x:v>TS04</x:v>
      </x:c>
      <x:c r="B37" s="11" t="str">
        <x:v>Repetir pedido confirmado gera um pedido, 52 pontos e um evento.</x:v>
      </x:c>
      <x:c r="C37" s="2" t="str">
        <x:v>APROVADO</x:v>
      </x:c>
      <x:c r="D37" s="8" t="n">
        <x:v>557.626</x:v>
      </x:c>
      <x:c r="E37" s="2"/>
      <x:c r="F37" s="2"/>
      <x:c r="G37" s="2"/>
      <x:c r="H37" s="2"/>
    </x:row>
    <x:row r="38" ht="36" customHeight="1">
      <x:c r="A38" s="2" t="str">
        <x:v>TS05</x:v>
      </x:c>
      <x:c r="B38" s="11" t="str">
        <x:v>Mesma chave com conteúdo alterado retorna conflito.</x:v>
      </x:c>
      <x:c r="C38" s="2" t="str">
        <x:v>APROVADO</x:v>
      </x:c>
      <x:c r="D38" s="8" t="n">
        <x:v>526.374</x:v>
      </x:c>
      <x:c r="E38" s="2"/>
      <x:c r="F38" s="2"/>
      <x:c r="G38" s="2"/>
      <x:c r="H38" s="2"/>
    </x:row>
    <x:row r="39" ht="36" customHeight="1">
      <x:c r="A39" s="2" t="str">
        <x:v>TS06</x:v>
      </x:c>
      <x:c r="B39" s="11" t="str">
        <x:v>Pedido maior que estoque restante falha sem alteração parcial.</x:v>
      </x:c>
      <x:c r="C39" s="2" t="str">
        <x:v>APROVADO</x:v>
      </x:c>
      <x:c r="D39" s="8" t="n">
        <x:v>530.367</x:v>
      </x:c>
      <x:c r="E39" s="2"/>
      <x:c r="F39" s="2"/>
      <x:c r="G39" s="2"/>
      <x:c r="H39" s="2"/>
    </x:row>
    <x:row r="40" ht="36" customHeight="1">
      <x:c r="A40" s="2" t="str">
        <x:v>TS07</x:v>
      </x:c>
      <x:c r="B40" s="11" t="str">
        <x:v>Compra em Recife preserva estoque da unidade João Pessoa.</x:v>
      </x:c>
      <x:c r="C40" s="2" t="str">
        <x:v>APROVADO</x:v>
      </x:c>
      <x:c r="D40" s="8" t="n">
        <x:v>528.281</x:v>
      </x:c>
      <x:c r="E40" s="2"/>
      <x:c r="F40" s="2"/>
      <x:c r="G40" s="2"/>
      <x:c r="H40" s="2"/>
    </x:row>
    <x:row r="41" ht="36" customHeight="1">
      <x:c r="A41" s="2" t="str">
        <x:v>TS08</x:v>
      </x:c>
      <x:c r="B41" s="11" t="str">
        <x:v>Compra sem fidelidade confirma com zero pontos.</x:v>
      </x:c>
      <x:c r="C41" s="2" t="str">
        <x:v>APROVADO</x:v>
      </x:c>
      <x:c r="D41" s="8" t="n">
        <x:v>527.759</x:v>
      </x:c>
      <x:c r="E41" s="2"/>
      <x:c r="F41" s="2"/>
      <x:c r="G41" s="2"/>
      <x:c r="H41" s="2"/>
    </x:row>
    <x:row r="42" ht="36" customHeight="1">
      <x:c r="A42" s="2" t="str">
        <x:v>TS09</x:v>
      </x:c>
      <x:c r="B42" s="11" t="str">
        <x:v>Cupom inexistente não cria pedido nem reduz estoque.</x:v>
      </x:c>
      <x:c r="C42" s="2" t="str">
        <x:v>APROVADO</x:v>
      </x:c>
      <x:c r="D42" s="8" t="n">
        <x:v>530.305</x:v>
      </x:c>
      <x:c r="E42" s="2"/>
      <x:c r="F42" s="2"/>
      <x:c r="G42" s="2"/>
      <x:c r="H42" s="2"/>
    </x:row>
    <x:row r="43" ht="36" customHeight="1">
      <x:c r="A43" s="2" t="str">
        <x:v>TS10</x:v>
      </x:c>
      <x:c r="B43" s="11" t="str">
        <x:v>Quantidade zero retorna QUANTIDADE_INVALIDA.</x:v>
      </x:c>
      <x:c r="C43" s="2" t="str">
        <x:v>APROVADO</x:v>
      </x:c>
      <x:c r="D43" s="8" t="n">
        <x:v>529.126</x:v>
      </x:c>
      <x:c r="E43" s="2"/>
      <x:c r="F43" s="2"/>
      <x:c r="G43" s="2"/>
      <x:c r="H43" s="2"/>
    </x:row>
    <x:row r="44" ht="36" customHeight="1">
      <x:c r="A44" s="2" t="str">
        <x:v>TS11</x:v>
      </x:c>
      <x:c r="B44" s="11" t="str">
        <x:v>Carrinho vazio retorna CARRINHO_INVALIDO.</x:v>
      </x:c>
      <x:c r="C44" s="2" t="str">
        <x:v>APROVADO</x:v>
      </x:c>
      <x:c r="D44" s="8" t="n">
        <x:v>528.118</x:v>
      </x:c>
      <x:c r="E44" s="2"/>
      <x:c r="F44" s="2"/>
      <x:c r="G44" s="2"/>
      <x:c r="H44" s="2"/>
    </x:row>
    <x:row r="45" ht="36" customHeight="1">
      <x:c r="A45" s="2" t="str">
        <x:v>TS12</x:v>
      </x:c>
      <x:c r="B45" s="11" t="str">
        <x:v>Unidade ou canal desconhecido é rejeitado.</x:v>
      </x:c>
      <x:c r="C45" s="2" t="str">
        <x:v>APROVADO</x:v>
      </x:c>
      <x:c r="D45" s="8" t="n">
        <x:v>525.115</x:v>
      </x:c>
      <x:c r="E45" s="2"/>
      <x:c r="F45" s="2"/>
      <x:c r="G45" s="2"/>
      <x:c r="H45" s="2"/>
    </x:row>
    <x:row r="46" ht="36" customHeight="1">
      <x:c r="A46" s="2" t="str">
        <x:v>TS13</x:v>
      </x:c>
      <x:c r="B46" s="11" t="str">
        <x:v>Produto inexistente e tentativa de injeção não alteram o banco.</x:v>
      </x:c>
      <x:c r="C46" s="2" t="str">
        <x:v>APROVADO</x:v>
      </x:c>
      <x:c r="D46" s="8" t="n">
        <x:v>525.192</x:v>
      </x:c>
      <x:c r="E46" s="2"/>
      <x:c r="F46" s="2"/>
      <x:c r="G46" s="2"/>
      <x:c r="H46" s="2"/>
    </x:row>
    <x:row r="47" ht="36" customHeight="1">
      <x:c r="A47" s="2" t="str">
        <x:v>TS14</x:v>
      </x:c>
      <x:c r="B47" s="11" t="str">
        <x:v>Nova instância recupera pedido e reconhece sua chave.</x:v>
      </x:c>
      <x:c r="C47" s="2" t="str">
        <x:v>APROVADO</x:v>
      </x:c>
      <x:c r="D47" s="8" t="n">
        <x:v>527.646</x:v>
      </x:c>
      <x:c r="E47" s="2"/>
      <x:c r="F47" s="2"/>
      <x:c r="G47" s="2"/>
      <x:c r="H47" s="2"/>
    </x:row>
    <x:row r="48" ht="36" customHeight="1">
      <x:c r="A48" s="2" t="str">
        <x:v>TS15</x:v>
      </x:c>
      <x:c r="B48" s="11" t="str">
        <x:v>Fidelidade acumula 104 pontos em duas unidades sem duplicação.</x:v>
      </x:c>
      <x:c r="C48" s="2" t="str">
        <x:v>APROVADO</x:v>
      </x:c>
      <x:c r="D48" s="8" t="n">
        <x:v>527.392</x:v>
      </x:c>
      <x:c r="E48" s="2"/>
      <x:c r="F48" s="2"/>
      <x:c r="G48" s="2"/>
      <x:c r="H48" s="2"/>
    </x:row>
    <x:row r="49" ht="36" customHeight="1">
      <x:c r="A49" s="2" t="str">
        <x:v>TS16</x:v>
      </x:c>
      <x:c r="B49" s="11" t="str">
        <x:v>Resposta inválida do gateway desfaz a transação integralmente.</x:v>
      </x:c>
      <x:c r="C49" s="2" t="str">
        <x:v>APROVADO</x:v>
      </x:c>
      <x:c r="D49" s="8" t="n">
        <x:v>523.364</x:v>
      </x:c>
      <x:c r="E49" s="2"/>
      <x:c r="F49" s="2"/>
      <x:c r="G49" s="2"/>
      <x:c r="H49" s="2"/>
    </x:row>
    <x:row r="50" ht="36" customHeight="1">
      <x:c r="A50" s="2" t="str">
        <x:v>TS17</x:v>
      </x:c>
      <x:c r="B50" s="11" t="str">
        <x:v>Cada resultado cria um evento sem identificador de cliente ou payload.</x:v>
      </x:c>
      <x:c r="C50" s="2" t="str">
        <x:v>APROVADO</x:v>
      </x:c>
      <x:c r="D50" s="8" t="n">
        <x:v>557.785</x:v>
      </x:c>
      <x:c r="E50" s="2"/>
      <x:c r="F50" s="2"/>
      <x:c r="G50" s="2"/>
      <x:c r="H50" s="2"/>
    </x:row>
    <x:row r="51" ht="36" customHeight="1">
      <x:c r="A51" s="2" t="str">
        <x:v>TS18</x:v>
      </x:c>
      <x:c r="B51" s="11" t="str">
        <x:v>Consultar pedido inexistente retorna 404.</x:v>
      </x:c>
      <x:c r="C51" s="2" t="str">
        <x:v>APROVADO</x:v>
      </x:c>
      <x:c r="D51" s="8" t="n">
        <x:v>529.406</x:v>
      </x:c>
      <x:c r="E51" s="2"/>
      <x:c r="F51" s="2"/>
      <x:c r="G51" s="2"/>
      <x:c r="H51" s="2"/>
    </x:row>
    <x:row r="52" ht="36" customHeight="1">
      <x:c r="A52" s="2" t="str">
        <x:v>TU01</x:v>
      </x:c>
      <x:c r="B52" s="11" t="str">
        <x:v>Valores exatos: 5800 - 580 = 5220 centavos; 52 pontos.</x:v>
      </x:c>
      <x:c r="C52" s="2" t="str">
        <x:v>APROVADO</x:v>
      </x:c>
      <x:c r="D52" s="8" t="n">
        <x:v>0.107</x:v>
      </x:c>
      <x:c r="E52" s="2"/>
      <x:c r="F52" s="2"/>
      <x:c r="G52" s="2"/>
      <x:c r="H52" s="2"/>
    </x:row>
    <x:row r="53" ht="36" customHeight="1">
      <x:c r="A53" s="2" t="str">
        <x:v>TU02</x:v>
      </x:c>
      <x:c r="B53" s="11" t="str">
        <x:v>Sem cupom e sem fidelidade: total 5800 e zero pontos.</x:v>
      </x:c>
      <x:c r="C53" s="2" t="str">
        <x:v>APROVADO</x:v>
      </x:c>
      <x:c r="D53" s="8" t="n">
        <x:v>0.059</x:v>
      </x:c>
      <x:c r="E53" s="2"/>
      <x:c r="F53" s="2"/>
      <x:c r="G53" s="2"/>
      <x:c r="H53" s="2"/>
    </x:row>
    <x:row r="54" ht="36" customHeight="1">
      <x:c r="A54" s="2" t="str">
        <x:v>TU03</x:v>
      </x:c>
      <x:c r="B54" s="11" t="str">
        <x:v>Aceitar 1 e 10; rejeitar 0, -1, 11, 1.5, string e booleano.</x:v>
      </x:c>
      <x:c r="C54" s="2" t="str">
        <x:v>APROVADO</x:v>
      </x:c>
      <x:c r="D54" s="8" t="n">
        <x:v>0.185</x:v>
      </x:c>
      <x:c r="E54" s="2"/>
      <x:c r="F54" s="2"/>
      <x:c r="G54" s="2"/>
      <x:c r="H54" s="2"/>
    </x:row>
    <x:row r="55" ht="36" customHeight="1">
      <x:c r="A55" s="2" t="str">
        <x:v>TU04</x:v>
      </x:c>
      <x:c r="B55" s="11" t="str">
        <x:v>Produto repetido deve ser rejeitado antes do cálculo.</x:v>
      </x:c>
      <x:c r="C55" s="2" t="str">
        <x:v>APROVADO</x:v>
      </x:c>
      <x:c r="D55" s="8" t="n">
        <x:v>0.058</x:v>
      </x:c>
      <x:c r="E55" s="2"/>
      <x:c r="F55" s="2"/>
      <x:c r="G55" s="2"/>
      <x:c r="H55" s="2"/>
    </x:row>
    <x:row r="56" ht="36" customHeight="1">
      <x:c r="A56" s="2" t="str">
        <x:v>TU05</x:v>
      </x:c>
      <x:c r="B56" s="11" t="str">
        <x:v>Rejeitar chave vazia, curta, excessiva ou com aspas.</x:v>
      </x:c>
      <x:c r="C56" s="2" t="str">
        <x:v>APROVADO</x:v>
      </x:c>
      <x:c r="D56" s="8" t="n">
        <x:v>0.088</x:v>
      </x:c>
      <x:c r="E56" s="2"/>
      <x:c r="F56" s="2"/>
      <x:c r="G56" s="2"/>
      <x:c r="H56" s="2"/>
    </x:row>
    <x:row r="57" ht="36" customHeight="1">
      <x:c r="A57" s="2" t="str">
        <x:v>TU06</x:v>
      </x:c>
      <x:c r="B57" s="11" t="str">
        <x:v>Campos extras e corpo não estruturado são rejeitados.</x:v>
      </x:c>
      <x:c r="C57" s="2" t="str">
        <x:v>APROVADO</x:v>
      </x:c>
      <x:c r="D57" s="8" t="n">
        <x:v>0.081</x:v>
      </x:c>
      <x:c r="E57" s="2"/>
      <x:c r="F57" s="2"/>
      <x:c r="G57" s="2"/>
      <x:c r="H57" s="2"/>
    </x:row>
    <x:row r="58" ht="36" customHeight="1">
      <x:c r="A58" s="2" t="str">
        <x:v>UI01</x:v>
      </x:c>
      <x:c r="B58" s="11" t="str">
        <x:v>Compra com desconto, fidelidade e confirmação preservada após falha do catálogo</x:v>
      </x:c>
      <x:c r="C58" s="2" t="str">
        <x:v>APROVADO</x:v>
      </x:c>
      <x:c r="D58" s="8" t="n">
        <x:v>1541</x:v>
      </x:c>
      <x:c r="E58" s="2"/>
      <x:c r="F58" s="2"/>
      <x:c r="G58" s="2"/>
      <x:c r="H58" s="2"/>
    </x:row>
    <x:row r="59" ht="36" customHeight="1">
      <x:c r="A59" s="2" t="str">
        <x:v>UI02</x:v>
      </x:c>
      <x:c r="B59" s="11" t="str">
        <x:v>Carrinho vazio e cupom inválido exibem mensagens</x:v>
      </x:c>
      <x:c r="C59" s="2" t="str">
        <x:v>APROVADO</x:v>
      </x:c>
      <x:c r="D59" s="8" t="n">
        <x:v>197</x:v>
      </x:c>
      <x:c r="E59" s="2"/>
      <x:c r="F59" s="2"/>
      <x:c r="G59" s="2"/>
      <x:c r="H59" s="2"/>
    </x:row>
    <x:row r="60" ht="36" customHeight="1">
      <x:c r="A60" s="2" t="str">
        <x:v>UI03</x:v>
      </x:c>
      <x:c r="B60" s="11" t="str">
        <x:v>Recusa de pagamento exibida no fluxo</x:v>
      </x:c>
      <x:c r="C60" s="2" t="str">
        <x:v>APROVADO</x:v>
      </x:c>
      <x:c r="D60" s="8" t="n">
        <x:v>429</x:v>
      </x:c>
      <x:c r="E60" s="2"/>
      <x:c r="F60" s="2"/>
      <x:c r="G60" s="2"/>
      <x:c r="H60" s="2"/>
    </x:row>
    <x:row r="61" ht="36" customHeight="1">
      <x:c r="A61" s="2" t="str">
        <x:v>UI04</x:v>
      </x:c>
      <x:c r="B61" s="11" t="str">
        <x:v>Pagamento sem resposta apresenta pendência e opções de conferência simulada</x:v>
      </x:c>
      <x:c r="C61" s="2" t="str">
        <x:v>APROVADO</x:v>
      </x:c>
      <x:c r="D61" s="8" t="n">
        <x:v>440</x:v>
      </x:c>
      <x:c r="E61" s="2"/>
      <x:c r="F61" s="2"/>
      <x:c r="G61" s="2"/>
      <x:c r="H61" s="2"/>
    </x:row>
    <x:row r="62" ht="36" customHeight="1">
      <x:c r="A62" s="2" t="str">
        <x:v>UI05</x:v>
      </x:c>
      <x:c r="B62" s="11" t="str">
        <x:v>Larguras 360, 390 e 768 sem rolagem horizontal e controles de quantidade com 44 px</x:v>
      </x:c>
      <x:c r="C62" s="2" t="str">
        <x:v>APROVADO</x:v>
      </x:c>
      <x:c r="D62" s="8" t="n">
        <x:v>513</x:v>
      </x:c>
      <x:c r="E62" s="2"/>
      <x:c r="F62" s="2"/>
      <x:c r="G62" s="2"/>
      <x:c r="H62" s="2"/>
    </x:row>
    <x:row r="63" ht="36" customHeight="1">
      <x:c r="A63" s="2" t="str">
        <x:v>UI06</x:v>
      </x:c>
      <x:c r="B63" s="11" t="str">
        <x:v>Aviso de privacidade visível e fidelidade opcional desmarcada</x:v>
      </x:c>
      <x:c r="C63" s="2" t="str">
        <x:v>APROVADO</x:v>
      </x:c>
      <x:c r="D63" s="8" t="n">
        <x:v>384</x:v>
      </x:c>
      <x:c r="E63" s="2"/>
      <x:c r="F63" s="2"/>
      <x:c r="G63" s="2"/>
      <x:c r="H63" s="2"/>
    </x:row>
    <x:row r="64" ht="36" customHeight="1">
      <x:c r="A64" s="2" t="str">
        <x:v>UI07</x:v>
      </x:c>
      <x:c r="B64" s="11" t="str">
        <x:v>Controles ficam bloqueados durante o envio e até iniciar novo pedido</x:v>
      </x:c>
      <x:c r="C64" s="2" t="str">
        <x:v>APROVADO</x:v>
      </x:c>
      <x:c r="D64" s="8" t="n">
        <x:v>203</x:v>
      </x:c>
      <x:c r="E64" s="2"/>
      <x:c r="F64" s="2"/>
      <x:c r="G64" s="2"/>
      <x:c r="H64" s="2"/>
    </x:row>
    <x:row r="65" ht="36" customHeight="1">
      <x:c r="A65" s="2" t="str">
        <x:v>UI08</x:v>
      </x:c>
      <x:c r="B65" s="11" t="str">
        <x:v>Resposta perdida permite repetir o mesmo pedido sem nova baixa de estoque</x:v>
      </x:c>
      <x:c r="C65" s="2" t="str">
        <x:v>APROVADO</x:v>
      </x:c>
      <x:c r="D65" s="8" t="n">
        <x:v>213</x:v>
      </x:c>
      <x:c r="E65" s="2"/>
      <x:c r="F65" s="2"/>
      <x:c r="G65" s="2"/>
      <x:c r="H65" s="2"/>
    </x:row>
    <x:row r="66" ht="36" customHeight="1">
      <x:c r="A66" s="2" t="str">
        <x:v>UI09</x:v>
      </x:c>
      <x:c r="B66" s="11" t="str">
        <x:v>Rascunho mantém unidade, canal, produtos, cupom, fidelidade e pagamento ao recarregar</x:v>
      </x:c>
      <x:c r="C66" s="2" t="str">
        <x:v>APROVADO</x:v>
      </x:c>
      <x:c r="D66" s="8" t="n">
        <x:v>252</x:v>
      </x:c>
      <x:c r="E66" s="2"/>
      <x:c r="F66" s="2"/>
      <x:c r="G66" s="2"/>
      <x:c r="H66" s="2"/>
    </x:row>
    <x:row r="67" ht="36" customHeight="1">
      <x:c r="A67" s="2" t="str">
        <x:v>UI10</x:v>
      </x:c>
      <x:c r="B67" s="11" t="str">
        <x:v>Confirmação reaparece ao recarregar e novo pedido libera os controles</x:v>
      </x:c>
      <x:c r="C67" s="2" t="str">
        <x:v>APROVADO</x:v>
      </x:c>
      <x:c r="D67" s="8" t="n">
        <x:v>311</x:v>
      </x:c>
      <x:c r="E67" s="2"/>
      <x:c r="F67" s="2"/>
      <x:c r="G67" s="2"/>
      <x:c r="H67" s="2"/>
    </x:row>
    <x:row r="68" ht="36" customHeight="1">
      <x:c r="A68" s="2" t="str">
        <x:v>UI11</x:v>
      </x:c>
      <x:c r="B68" s="11" t="str">
        <x:v>Pendência sobrevive à recarga e pode ser aprovada ou recusada sem duplicar estoque e pontos</x:v>
      </x:c>
      <x:c r="C68" s="2" t="str">
        <x:v>APROVADO</x:v>
      </x:c>
      <x:c r="D68" s="8" t="n">
        <x:v>629</x:v>
      </x:c>
      <x:c r="E68" s="2"/>
      <x:c r="F68" s="2"/>
      <x:c r="G68" s="2"/>
      <x:c r="H68" s="2"/>
    </x:row>
    <x:row r="69" ht="36" customHeight="1">
      <x:c r="A69" s="2" t="str">
        <x:v>UI12</x:v>
      </x:c>
      <x:c r="B69" s="11" t="str">
        <x:v>Resposta perdida e recarga preservam o corpo e a chave para recuperar a mesma compra</x:v>
      </x:c>
      <x:c r="C69" s="2" t="str">
        <x:v>APROVADO</x:v>
      </x:c>
      <x:c r="D69" s="8" t="n">
        <x:v>250</x:v>
      </x:c>
      <x:c r="E69" s="2"/>
      <x:c r="F69" s="2"/>
      <x:c r="G69" s="2"/>
      <x:c r="H69" s="2"/>
    </x:row>
    <x:row r="70" ht="36" customHeight="1">
      <x:c r="A70" s="2" t="str">
        <x:v>UI13</x:v>
      </x:c>
      <x:c r="B70" s="11" t="str">
        <x:v>Falhas de catálogo impedem compra com dados antigos e permitem nova tentativa</x:v>
      </x:c>
      <x:c r="C70" s="2" t="str">
        <x:v>APROVADO</x:v>
      </x:c>
      <x:c r="D70" s="8" t="n">
        <x:v>1949</x:v>
      </x:c>
      <x:c r="E70" s="2"/>
      <x:c r="F70" s="2"/>
      <x:c r="G70" s="2"/>
      <x:c r="H70" s="2"/>
    </x:row>
    <x:row r="71" ht="36" customHeight="1">
      <x:c r="A71" s="2" t="str">
        <x:v>UI14</x:v>
      </x:c>
      <x:c r="B71" s="11" t="str">
        <x:v>Quantidade respeita estoque e limite de dez, com botões desabilitados nos limites</x:v>
      </x:c>
      <x:c r="C71" s="2" t="str">
        <x:v>APROVADO</x:v>
      </x:c>
      <x:c r="D71" s="8" t="n">
        <x:v>409</x:v>
      </x:c>
      <x:c r="E71" s="2"/>
      <x:c r="F71" s="2"/>
      <x:c r="G71" s="2"/>
      <x:c r="H71" s="2"/>
    </x:row>
    <x:row r="72" ht="36" customHeight="1">
      <x:c r="A72" s="2" t="str">
        <x:v>UI15</x:v>
      </x:c>
      <x:c r="B72" s="11" t="str">
        <x:v>Envio sem resposta termina em oito segundos e repete a compra sem duplicação</x:v>
      </x:c>
      <x:c r="C72" s="2" t="str">
        <x:v>APROVADO</x:v>
      </x:c>
      <x:c r="D72" s="8" t="n">
        <x:v>8679</x:v>
      </x:c>
      <x:c r="E72" s="2"/>
      <x:c r="F72" s="2"/>
      <x:c r="G72" s="2"/>
      <x:c r="H72" s="2"/>
    </x:row>
    <x:row r="73" ht="36" customHeight="1">
      <x:c r="A73" s="2" t="str">
        <x:v>UI16</x:v>
      </x:c>
      <x:c r="B73" s="11" t="str">
        <x:v>Sessão expirada pode ser atualizada preservando a tentativa de compra</x:v>
      </x:c>
      <x:c r="C73" s="2" t="str">
        <x:v>APROVADO</x:v>
      </x:c>
      <x:c r="D73" s="8" t="n">
        <x:v>259</x:v>
      </x:c>
      <x:c r="E73" s="2"/>
      <x:c r="F73" s="2"/>
      <x:c r="G73" s="2"/>
      <x:c r="H73" s="2"/>
    </x:row>
    <x:row r="74" ht="36" customHeight="1">
      <x:c r="A74" s="2" t="str">
        <x:v>UI17</x:v>
      </x:c>
      <x:c r="B74" s="11" t="str">
        <x:v>Recarregar durante o envio recupera o mesmo pedido sem uma nova compra</x:v>
      </x:c>
      <x:c r="C74" s="2" t="str">
        <x:v>APROVADO</x:v>
      </x:c>
      <x:c r="D74" s="8" t="n">
        <x:v>268</x:v>
      </x:c>
      <x:c r="E74" s="2"/>
      <x:c r="F74" s="2"/>
      <x:c r="G74" s="2"/>
      <x:c r="H74" s="2"/>
    </x:row>
    <x:row r="75" ht="36" customHeight="1">
      <x:c r="A75" s="2" t="str">
        <x:v>UI18</x:v>
      </x:c>
      <x:c r="B75" s="11" t="str">
        <x:v>Resposta perdida na conferência bloqueia a opção oposta e recarga recupera a aprovação</x:v>
      </x:c>
      <x:c r="C75" s="2" t="str">
        <x:v>APROVADO</x:v>
      </x:c>
      <x:c r="D75" s="8" t="n">
        <x:v>324</x:v>
      </x:c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  <x:row r="201">
      <x:c r="A201" s="2"/>
      <x:c r="B201" s="2"/>
      <x:c r="C201" s="2"/>
      <x:c r="D201" s="2"/>
      <x:c r="E201" s="2"/>
      <x:c r="F201" s="2"/>
      <x:c r="G201" s="2"/>
      <x:c r="H201" s="2"/>
    </x:row>
    <x:row r="202">
      <x:c r="A202" s="2"/>
      <x:c r="B202" s="2"/>
      <x:c r="C202" s="2"/>
      <x:c r="D202" s="2"/>
      <x:c r="E202" s="2"/>
      <x:c r="F202" s="2"/>
      <x:c r="G202" s="2"/>
      <x:c r="H202" s="2"/>
    </x:row>
    <x:row r="203">
      <x:c r="A203" s="2"/>
      <x:c r="B203" s="2"/>
      <x:c r="C203" s="2"/>
      <x:c r="D203" s="2"/>
      <x:c r="E203" s="2"/>
      <x:c r="F203" s="2"/>
      <x:c r="G203" s="2"/>
      <x:c r="H203" s="2"/>
    </x:row>
    <x:row r="204">
      <x:c r="A204" s="2"/>
      <x:c r="B204" s="2"/>
      <x:c r="C204" s="2"/>
      <x:c r="D204" s="2"/>
      <x:c r="E204" s="2"/>
      <x:c r="F204" s="2"/>
      <x:c r="G204" s="2"/>
      <x:c r="H204" s="2"/>
    </x:row>
    <x:row r="205">
      <x:c r="A205" s="2"/>
      <x:c r="B205" s="2"/>
      <x:c r="C205" s="2"/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Amostras de carga local</x:v>
      </x:c>
      <x:c r="B2" s="2"/>
      <x:c r="C2" s="2"/>
      <x:c r="D2" s="2"/>
      <x:c r="E2" s="2"/>
      <x:c r="F2" s="2"/>
      <x:c r="G2" s="2"/>
      <x:c r="H2" s="2"/>
    </x:row>
    <x:row r="3">
      <x:c r="A3" s="2" t="str">
        <x:v>Fonte: evidencias/desempenho.json</x:v>
      </x:c>
      <x:c r="B3" s="2"/>
      <x:c r="C3" s="2"/>
      <x:c r="D3" s="2"/>
      <x:c r="E3" s="2"/>
      <x:c r="F3" s="2"/>
      <x:c r="G3" s="2"/>
      <x:c r="H3" s="2"/>
    </x:row>
    <x:row r="4">
      <x:c r="A4" s="2" t="str">
        <x:v>200 pedidos, 10 threads de envio simultâneo e 5 aquecimentos excluídos.</x:v>
      </x:c>
      <x:c r="B4" s="2"/>
      <x:c r="C4" s="2"/>
      <x:c r="D4" s="2"/>
      <x:c r="E4" s="2"/>
      <x:c r="F4" s="2"/>
      <x:c r="G4" s="2"/>
      <x:c r="H4" s="2"/>
    </x:row>
    <x:row r="5" ht="32" customHeight="1">
      <x:c r="A5" s="6" t="str">
        <x:v>Amostra</x:v>
      </x:c>
      <x:c r="B5" s="6" t="str">
        <x:v>Resposta (ms)</x:v>
      </x:c>
      <x:c r="C5" s="6" t="str">
        <x:v>Confirmado (1/0)</x:v>
      </x:c>
      <x:c r="D5" s="2"/>
      <x:c r="E5" s="2"/>
      <x:c r="F5" s="2"/>
      <x:c r="G5" s="2"/>
      <x:c r="H5" s="2"/>
    </x:row>
    <x:row r="6">
      <x:c r="A6" s="2" t="n">
        <x:v>0</x:v>
      </x:c>
      <x:c r="B6" s="8" t="n">
        <x:v>9.891</x:v>
      </x:c>
      <x:c r="C6" s="2" t="n">
        <x:v>1</x:v>
      </x:c>
      <x:c r="D6" s="2"/>
      <x:c r="E6" s="2"/>
      <x:c r="F6" s="2"/>
      <x:c r="G6" s="2"/>
      <x:c r="H6" s="2"/>
    </x:row>
    <x:row r="7">
      <x:c r="A7" s="2" t="n">
        <x:v>1</x:v>
      </x:c>
      <x:c r="B7" s="8" t="n">
        <x:v>1204.152</x:v>
      </x:c>
      <x:c r="C7" s="2" t="n">
        <x:v>1</x:v>
      </x:c>
      <x:c r="D7" s="2"/>
      <x:c r="E7" s="2"/>
      <x:c r="F7" s="2"/>
      <x:c r="G7" s="2"/>
      <x:c r="H7" s="2"/>
    </x:row>
    <x:row r="8">
      <x:c r="A8" s="2" t="n">
        <x:v>2</x:v>
      </x:c>
      <x:c r="B8" s="8" t="n">
        <x:v>56.848</x:v>
      </x:c>
      <x:c r="C8" s="2" t="n">
        <x:v>1</x:v>
      </x:c>
      <x:c r="D8" s="2"/>
      <x:c r="E8" s="2"/>
      <x:c r="F8" s="2"/>
      <x:c r="G8" s="2"/>
      <x:c r="H8" s="2"/>
    </x:row>
    <x:row r="9">
      <x:c r="A9" s="2" t="n">
        <x:v>3</x:v>
      </x:c>
      <x:c r="B9" s="8" t="n">
        <x:v>768.637</x:v>
      </x:c>
      <x:c r="C9" s="2" t="n">
        <x:v>1</x:v>
      </x:c>
      <x:c r="D9" s="2"/>
      <x:c r="E9" s="2"/>
      <x:c r="F9" s="2"/>
      <x:c r="G9" s="2"/>
      <x:c r="H9" s="2"/>
    </x:row>
    <x:row r="10">
      <x:c r="A10" s="2" t="n">
        <x:v>4</x:v>
      </x:c>
      <x:c r="B10" s="8" t="n">
        <x:v>25.321</x:v>
      </x:c>
      <x:c r="C10" s="2" t="n">
        <x:v>1</x:v>
      </x:c>
      <x:c r="D10" s="2"/>
      <x:c r="E10" s="2"/>
      <x:c r="F10" s="2"/>
      <x:c r="G10" s="2"/>
      <x:c r="H10" s="2"/>
    </x:row>
    <x:row r="11">
      <x:c r="A11" s="2" t="n">
        <x:v>5</x:v>
      </x:c>
      <x:c r="B11" s="8" t="n">
        <x:v>12.714</x:v>
      </x:c>
      <x:c r="C11" s="2" t="n">
        <x:v>1</x:v>
      </x:c>
      <x:c r="D11" s="2"/>
      <x:c r="E11" s="2"/>
      <x:c r="F11" s="2"/>
      <x:c r="G11" s="2"/>
      <x:c r="H11" s="2"/>
    </x:row>
    <x:row r="12">
      <x:c r="A12" s="2" t="n">
        <x:v>6</x:v>
      </x:c>
      <x:c r="B12" s="8" t="n">
        <x:v>25.473</x:v>
      </x:c>
      <x:c r="C12" s="2" t="n">
        <x:v>1</x:v>
      </x:c>
      <x:c r="D12" s="2"/>
      <x:c r="E12" s="2"/>
      <x:c r="F12" s="2"/>
      <x:c r="G12" s="2"/>
      <x:c r="H12" s="2"/>
    </x:row>
    <x:row r="13">
      <x:c r="A13" s="2" t="n">
        <x:v>7</x:v>
      </x:c>
      <x:c r="B13" s="8" t="n">
        <x:v>162.606</x:v>
      </x:c>
      <x:c r="C13" s="2" t="n">
        <x:v>1</x:v>
      </x:c>
      <x:c r="D13" s="2"/>
      <x:c r="E13" s="2"/>
      <x:c r="F13" s="2"/>
      <x:c r="G13" s="2"/>
      <x:c r="H13" s="2"/>
    </x:row>
    <x:row r="14">
      <x:c r="A14" s="2" t="n">
        <x:v>8</x:v>
      </x:c>
      <x:c r="B14" s="8" t="n">
        <x:v>84.118</x:v>
      </x:c>
      <x:c r="C14" s="2" t="n">
        <x:v>1</x:v>
      </x:c>
      <x:c r="D14" s="2"/>
      <x:c r="E14" s="2"/>
      <x:c r="F14" s="2"/>
      <x:c r="G14" s="2"/>
      <x:c r="H14" s="2"/>
    </x:row>
    <x:row r="15">
      <x:c r="A15" s="2" t="n">
        <x:v>9</x:v>
      </x:c>
      <x:c r="B15" s="8" t="n">
        <x:v>37.529</x:v>
      </x:c>
      <x:c r="C15" s="2" t="n">
        <x:v>1</x:v>
      </x:c>
      <x:c r="D15" s="2"/>
      <x:c r="E15" s="2"/>
      <x:c r="F15" s="2"/>
      <x:c r="G15" s="2"/>
      <x:c r="H15" s="2"/>
    </x:row>
    <x:row r="16">
      <x:c r="A16" s="2" t="n">
        <x:v>10</x:v>
      </x:c>
      <x:c r="B16" s="8" t="n">
        <x:v>63.218</x:v>
      </x:c>
      <x:c r="C16" s="2" t="n">
        <x:v>1</x:v>
      </x:c>
      <x:c r="D16" s="2"/>
      <x:c r="E16" s="2"/>
      <x:c r="F16" s="2"/>
      <x:c r="G16" s="2"/>
      <x:c r="H16" s="2"/>
    </x:row>
    <x:row r="17">
      <x:c r="A17" s="2" t="n">
        <x:v>11</x:v>
      </x:c>
      <x:c r="B17" s="8" t="n">
        <x:v>19.297</x:v>
      </x:c>
      <x:c r="C17" s="2" t="n">
        <x:v>1</x:v>
      </x:c>
      <x:c r="D17" s="2"/>
      <x:c r="E17" s="2"/>
      <x:c r="F17" s="2"/>
      <x:c r="G17" s="2"/>
      <x:c r="H17" s="2"/>
    </x:row>
    <x:row r="18">
      <x:c r="A18" s="2" t="n">
        <x:v>12</x:v>
      </x:c>
      <x:c r="B18" s="8" t="n">
        <x:v>19.402</x:v>
      </x:c>
      <x:c r="C18" s="2" t="n">
        <x:v>1</x:v>
      </x:c>
      <x:c r="D18" s="2"/>
      <x:c r="E18" s="2"/>
      <x:c r="F18" s="2"/>
      <x:c r="G18" s="2"/>
      <x:c r="H18" s="2"/>
    </x:row>
    <x:row r="19">
      <x:c r="A19" s="2" t="n">
        <x:v>13</x:v>
      </x:c>
      <x:c r="B19" s="8" t="n">
        <x:v>10.549</x:v>
      </x:c>
      <x:c r="C19" s="2" t="n">
        <x:v>1</x:v>
      </x:c>
      <x:c r="D19" s="2"/>
      <x:c r="E19" s="2"/>
      <x:c r="F19" s="2"/>
      <x:c r="G19" s="2"/>
      <x:c r="H19" s="2"/>
    </x:row>
    <x:row r="20">
      <x:c r="A20" s="2" t="n">
        <x:v>14</x:v>
      </x:c>
      <x:c r="B20" s="8" t="n">
        <x:v>147.364</x:v>
      </x:c>
      <x:c r="C20" s="2" t="n">
        <x:v>1</x:v>
      </x:c>
      <x:c r="D20" s="2"/>
      <x:c r="E20" s="2"/>
      <x:c r="F20" s="2"/>
      <x:c r="G20" s="2"/>
      <x:c r="H20" s="2"/>
    </x:row>
    <x:row r="21">
      <x:c r="A21" s="2" t="n">
        <x:v>15</x:v>
      </x:c>
      <x:c r="B21" s="8" t="n">
        <x:v>21.131</x:v>
      </x:c>
      <x:c r="C21" s="2" t="n">
        <x:v>1</x:v>
      </x:c>
      <x:c r="D21" s="2"/>
      <x:c r="E21" s="2"/>
      <x:c r="F21" s="2"/>
      <x:c r="G21" s="2"/>
      <x:c r="H21" s="2"/>
    </x:row>
    <x:row r="22">
      <x:c r="A22" s="2" t="n">
        <x:v>16</x:v>
      </x:c>
      <x:c r="B22" s="8" t="n">
        <x:v>11.001</x:v>
      </x:c>
      <x:c r="C22" s="2" t="n">
        <x:v>1</x:v>
      </x:c>
      <x:c r="D22" s="2"/>
      <x:c r="E22" s="2"/>
      <x:c r="F22" s="2"/>
      <x:c r="G22" s="2"/>
      <x:c r="H22" s="2"/>
    </x:row>
    <x:row r="23">
      <x:c r="A23" s="2" t="n">
        <x:v>17</x:v>
      </x:c>
      <x:c r="B23" s="8" t="n">
        <x:v>34.122</x:v>
      </x:c>
      <x:c r="C23" s="2" t="n">
        <x:v>1</x:v>
      </x:c>
      <x:c r="D23" s="2"/>
      <x:c r="E23" s="2"/>
      <x:c r="F23" s="2"/>
      <x:c r="G23" s="2"/>
      <x:c r="H23" s="2"/>
    </x:row>
    <x:row r="24">
      <x:c r="A24" s="2" t="n">
        <x:v>18</x:v>
      </x:c>
      <x:c r="B24" s="8" t="n">
        <x:v>14.721</x:v>
      </x:c>
      <x:c r="C24" s="2" t="n">
        <x:v>1</x:v>
      </x:c>
      <x:c r="D24" s="2"/>
      <x:c r="E24" s="2"/>
      <x:c r="F24" s="2"/>
      <x:c r="G24" s="2"/>
      <x:c r="H24" s="2"/>
    </x:row>
    <x:row r="25">
      <x:c r="A25" s="2" t="n">
        <x:v>19</x:v>
      </x:c>
      <x:c r="B25" s="8" t="n">
        <x:v>77.218</x:v>
      </x:c>
      <x:c r="C25" s="2" t="n">
        <x:v>1</x:v>
      </x:c>
      <x:c r="D25" s="2"/>
      <x:c r="E25" s="2"/>
      <x:c r="F25" s="2"/>
      <x:c r="G25" s="2"/>
      <x:c r="H25" s="2"/>
    </x:row>
    <x:row r="26">
      <x:c r="A26" s="2" t="n">
        <x:v>20</x:v>
      </x:c>
      <x:c r="B26" s="8" t="n">
        <x:v>59.67</x:v>
      </x:c>
      <x:c r="C26" s="2" t="n">
        <x:v>1</x:v>
      </x:c>
      <x:c r="D26" s="2"/>
      <x:c r="E26" s="2"/>
      <x:c r="F26" s="2"/>
      <x:c r="G26" s="2"/>
      <x:c r="H26" s="2"/>
    </x:row>
    <x:row r="27">
      <x:c r="A27" s="2" t="n">
        <x:v>21</x:v>
      </x:c>
      <x:c r="B27" s="8" t="n">
        <x:v>82.773</x:v>
      </x:c>
      <x:c r="C27" s="2" t="n">
        <x:v>1</x:v>
      </x:c>
      <x:c r="D27" s="2"/>
      <x:c r="E27" s="2"/>
      <x:c r="F27" s="2"/>
      <x:c r="G27" s="2"/>
      <x:c r="H27" s="2"/>
    </x:row>
    <x:row r="28">
      <x:c r="A28" s="2" t="n">
        <x:v>22</x:v>
      </x:c>
      <x:c r="B28" s="8" t="n">
        <x:v>29.67</x:v>
      </x:c>
      <x:c r="C28" s="2" t="n">
        <x:v>1</x:v>
      </x:c>
      <x:c r="D28" s="2"/>
      <x:c r="E28" s="2"/>
      <x:c r="F28" s="2"/>
      <x:c r="G28" s="2"/>
      <x:c r="H28" s="2"/>
    </x:row>
    <x:row r="29">
      <x:c r="A29" s="2" t="n">
        <x:v>23</x:v>
      </x:c>
      <x:c r="B29" s="8" t="n">
        <x:v>547.64</x:v>
      </x:c>
      <x:c r="C29" s="2" t="n">
        <x:v>1</x:v>
      </x:c>
      <x:c r="D29" s="2"/>
      <x:c r="E29" s="2"/>
      <x:c r="F29" s="2"/>
      <x:c r="G29" s="2"/>
      <x:c r="H29" s="2"/>
    </x:row>
    <x:row r="30">
      <x:c r="A30" s="2" t="n">
        <x:v>24</x:v>
      </x:c>
      <x:c r="B30" s="8" t="n">
        <x:v>6.369</x:v>
      </x:c>
      <x:c r="C30" s="2" t="n">
        <x:v>1</x:v>
      </x:c>
      <x:c r="D30" s="2"/>
      <x:c r="E30" s="2"/>
      <x:c r="F30" s="2"/>
      <x:c r="G30" s="2"/>
      <x:c r="H30" s="2"/>
    </x:row>
    <x:row r="31">
      <x:c r="A31" s="2" t="n">
        <x:v>25</x:v>
      </x:c>
      <x:c r="B31" s="8" t="n">
        <x:v>11.682</x:v>
      </x:c>
      <x:c r="C31" s="2" t="n">
        <x:v>1</x:v>
      </x:c>
      <x:c r="D31" s="2"/>
      <x:c r="E31" s="2"/>
      <x:c r="F31" s="2"/>
      <x:c r="G31" s="2"/>
      <x:c r="H31" s="2"/>
    </x:row>
    <x:row r="32">
      <x:c r="A32" s="2" t="n">
        <x:v>26</x:v>
      </x:c>
      <x:c r="B32" s="8" t="n">
        <x:v>28.122</x:v>
      </x:c>
      <x:c r="C32" s="2" t="n">
        <x:v>1</x:v>
      </x:c>
      <x:c r="D32" s="2"/>
      <x:c r="E32" s="2"/>
      <x:c r="F32" s="2"/>
      <x:c r="G32" s="2"/>
      <x:c r="H32" s="2"/>
    </x:row>
    <x:row r="33">
      <x:c r="A33" s="2" t="n">
        <x:v>27</x:v>
      </x:c>
      <x:c r="B33" s="8" t="n">
        <x:v>9.486</x:v>
      </x:c>
      <x:c r="C33" s="2" t="n">
        <x:v>1</x:v>
      </x:c>
      <x:c r="D33" s="2"/>
      <x:c r="E33" s="2"/>
      <x:c r="F33" s="2"/>
      <x:c r="G33" s="2"/>
      <x:c r="H33" s="2"/>
    </x:row>
    <x:row r="34">
      <x:c r="A34" s="2" t="n">
        <x:v>28</x:v>
      </x:c>
      <x:c r="B34" s="8" t="n">
        <x:v>11.092</x:v>
      </x:c>
      <x:c r="C34" s="2" t="n">
        <x:v>1</x:v>
      </x:c>
      <x:c r="D34" s="2"/>
      <x:c r="E34" s="2"/>
      <x:c r="F34" s="2"/>
      <x:c r="G34" s="2"/>
      <x:c r="H34" s="2"/>
    </x:row>
    <x:row r="35">
      <x:c r="A35" s="2" t="n">
        <x:v>29</x:v>
      </x:c>
      <x:c r="B35" s="8" t="n">
        <x:v>18.565</x:v>
      </x:c>
      <x:c r="C35" s="2" t="n">
        <x:v>1</x:v>
      </x:c>
      <x:c r="D35" s="2"/>
      <x:c r="E35" s="2"/>
      <x:c r="F35" s="2"/>
      <x:c r="G35" s="2"/>
      <x:c r="H35" s="2"/>
    </x:row>
    <x:row r="36">
      <x:c r="A36" s="2" t="n">
        <x:v>30</x:v>
      </x:c>
      <x:c r="B36" s="8" t="n">
        <x:v>18.212</x:v>
      </x:c>
      <x:c r="C36" s="2" t="n">
        <x:v>1</x:v>
      </x:c>
      <x:c r="D36" s="2"/>
      <x:c r="E36" s="2"/>
      <x:c r="F36" s="2"/>
      <x:c r="G36" s="2"/>
      <x:c r="H36" s="2"/>
    </x:row>
    <x:row r="37">
      <x:c r="A37" s="2" t="n">
        <x:v>31</x:v>
      </x:c>
      <x:c r="B37" s="8" t="n">
        <x:v>37.72</x:v>
      </x:c>
      <x:c r="C37" s="2" t="n">
        <x:v>1</x:v>
      </x:c>
      <x:c r="D37" s="2"/>
      <x:c r="E37" s="2"/>
      <x:c r="F37" s="2"/>
      <x:c r="G37" s="2"/>
      <x:c r="H37" s="2"/>
    </x:row>
    <x:row r="38">
      <x:c r="A38" s="2" t="n">
        <x:v>32</x:v>
      </x:c>
      <x:c r="B38" s="8" t="n">
        <x:v>18.541</x:v>
      </x:c>
      <x:c r="C38" s="2" t="n">
        <x:v>1</x:v>
      </x:c>
      <x:c r="D38" s="2"/>
      <x:c r="E38" s="2"/>
      <x:c r="F38" s="2"/>
      <x:c r="G38" s="2"/>
      <x:c r="H38" s="2"/>
    </x:row>
    <x:row r="39">
      <x:c r="A39" s="2" t="n">
        <x:v>33</x:v>
      </x:c>
      <x:c r="B39" s="8" t="n">
        <x:v>49.09</x:v>
      </x:c>
      <x:c r="C39" s="2" t="n">
        <x:v>1</x:v>
      </x:c>
      <x:c r="D39" s="2"/>
      <x:c r="E39" s="2"/>
      <x:c r="F39" s="2"/>
      <x:c r="G39" s="2"/>
      <x:c r="H39" s="2"/>
    </x:row>
    <x:row r="40">
      <x:c r="A40" s="2" t="n">
        <x:v>34</x:v>
      </x:c>
      <x:c r="B40" s="8" t="n">
        <x:v>16.392</x:v>
      </x:c>
      <x:c r="C40" s="2" t="n">
        <x:v>1</x:v>
      </x:c>
      <x:c r="D40" s="2"/>
      <x:c r="E40" s="2"/>
      <x:c r="F40" s="2"/>
      <x:c r="G40" s="2"/>
      <x:c r="H40" s="2"/>
    </x:row>
    <x:row r="41">
      <x:c r="A41" s="2" t="n">
        <x:v>35</x:v>
      </x:c>
      <x:c r="B41" s="8" t="n">
        <x:v>43.66</x:v>
      </x:c>
      <x:c r="C41" s="2" t="n">
        <x:v>1</x:v>
      </x:c>
      <x:c r="D41" s="2"/>
      <x:c r="E41" s="2"/>
      <x:c r="F41" s="2"/>
      <x:c r="G41" s="2"/>
      <x:c r="H41" s="2"/>
    </x:row>
    <x:row r="42">
      <x:c r="A42" s="2" t="n">
        <x:v>36</x:v>
      </x:c>
      <x:c r="B42" s="8" t="n">
        <x:v>22.028</x:v>
      </x:c>
      <x:c r="C42" s="2" t="n">
        <x:v>1</x:v>
      </x:c>
      <x:c r="D42" s="2"/>
      <x:c r="E42" s="2"/>
      <x:c r="F42" s="2"/>
      <x:c r="G42" s="2"/>
      <x:c r="H42" s="2"/>
    </x:row>
    <x:row r="43">
      <x:c r="A43" s="2" t="n">
        <x:v>37</x:v>
      </x:c>
      <x:c r="B43" s="8" t="n">
        <x:v>49.873</x:v>
      </x:c>
      <x:c r="C43" s="2" t="n">
        <x:v>1</x:v>
      </x:c>
      <x:c r="D43" s="2"/>
      <x:c r="E43" s="2"/>
      <x:c r="F43" s="2"/>
      <x:c r="G43" s="2"/>
      <x:c r="H43" s="2"/>
    </x:row>
    <x:row r="44">
      <x:c r="A44" s="2" t="n">
        <x:v>38</x:v>
      </x:c>
      <x:c r="B44" s="8" t="n">
        <x:v>30.748</x:v>
      </x:c>
      <x:c r="C44" s="2" t="n">
        <x:v>1</x:v>
      </x:c>
      <x:c r="D44" s="2"/>
      <x:c r="E44" s="2"/>
      <x:c r="F44" s="2"/>
      <x:c r="G44" s="2"/>
      <x:c r="H44" s="2"/>
    </x:row>
    <x:row r="45">
      <x:c r="A45" s="2" t="n">
        <x:v>39</x:v>
      </x:c>
      <x:c r="B45" s="8" t="n">
        <x:v>31.41</x:v>
      </x:c>
      <x:c r="C45" s="2" t="n">
        <x:v>1</x:v>
      </x:c>
      <x:c r="D45" s="2"/>
      <x:c r="E45" s="2"/>
      <x:c r="F45" s="2"/>
      <x:c r="G45" s="2"/>
      <x:c r="H45" s="2"/>
    </x:row>
    <x:row r="46">
      <x:c r="A46" s="2" t="n">
        <x:v>40</x:v>
      </x:c>
      <x:c r="B46" s="8" t="n">
        <x:v>52.363</x:v>
      </x:c>
      <x:c r="C46" s="2" t="n">
        <x:v>1</x:v>
      </x:c>
      <x:c r="D46" s="2"/>
      <x:c r="E46" s="2"/>
      <x:c r="F46" s="2"/>
      <x:c r="G46" s="2"/>
      <x:c r="H46" s="2"/>
    </x:row>
    <x:row r="47">
      <x:c r="A47" s="2" t="n">
        <x:v>41</x:v>
      </x:c>
      <x:c r="B47" s="8" t="n">
        <x:v>77.151</x:v>
      </x:c>
      <x:c r="C47" s="2" t="n">
        <x:v>1</x:v>
      </x:c>
      <x:c r="D47" s="2"/>
      <x:c r="E47" s="2"/>
      <x:c r="F47" s="2"/>
      <x:c r="G47" s="2"/>
      <x:c r="H47" s="2"/>
    </x:row>
    <x:row r="48">
      <x:c r="A48" s="2" t="n">
        <x:v>42</x:v>
      </x:c>
      <x:c r="B48" s="8" t="n">
        <x:v>28.917</x:v>
      </x:c>
      <x:c r="C48" s="2" t="n">
        <x:v>1</x:v>
      </x:c>
      <x:c r="D48" s="2"/>
      <x:c r="E48" s="2"/>
      <x:c r="F48" s="2"/>
      <x:c r="G48" s="2"/>
      <x:c r="H48" s="2"/>
    </x:row>
    <x:row r="49">
      <x:c r="A49" s="2" t="n">
        <x:v>43</x:v>
      </x:c>
      <x:c r="B49" s="8" t="n">
        <x:v>294.83</x:v>
      </x:c>
      <x:c r="C49" s="2" t="n">
        <x:v>1</x:v>
      </x:c>
      <x:c r="D49" s="2"/>
      <x:c r="E49" s="2"/>
      <x:c r="F49" s="2"/>
      <x:c r="G49" s="2"/>
      <x:c r="H49" s="2"/>
    </x:row>
    <x:row r="50">
      <x:c r="A50" s="2" t="n">
        <x:v>44</x:v>
      </x:c>
      <x:c r="B50" s="8" t="n">
        <x:v>11.653</x:v>
      </x:c>
      <x:c r="C50" s="2" t="n">
        <x:v>1</x:v>
      </x:c>
      <x:c r="D50" s="2"/>
      <x:c r="E50" s="2"/>
      <x:c r="F50" s="2"/>
      <x:c r="G50" s="2"/>
      <x:c r="H50" s="2"/>
    </x:row>
    <x:row r="51">
      <x:c r="A51" s="2" t="n">
        <x:v>45</x:v>
      </x:c>
      <x:c r="B51" s="8" t="n">
        <x:v>22.102</x:v>
      </x:c>
      <x:c r="C51" s="2" t="n">
        <x:v>1</x:v>
      </x:c>
      <x:c r="D51" s="2"/>
      <x:c r="E51" s="2"/>
      <x:c r="F51" s="2"/>
      <x:c r="G51" s="2"/>
      <x:c r="H51" s="2"/>
    </x:row>
    <x:row r="52">
      <x:c r="A52" s="2" t="n">
        <x:v>46</x:v>
      </x:c>
      <x:c r="B52" s="8" t="n">
        <x:v>34.949</x:v>
      </x:c>
      <x:c r="C52" s="2" t="n">
        <x:v>1</x:v>
      </x:c>
      <x:c r="D52" s="2"/>
      <x:c r="E52" s="2"/>
      <x:c r="F52" s="2"/>
      <x:c r="G52" s="2"/>
      <x:c r="H52" s="2"/>
    </x:row>
    <x:row r="53">
      <x:c r="A53" s="2" t="n">
        <x:v>47</x:v>
      </x:c>
      <x:c r="B53" s="8" t="n">
        <x:v>340.544</x:v>
      </x:c>
      <x:c r="C53" s="2" t="n">
        <x:v>1</x:v>
      </x:c>
      <x:c r="D53" s="2"/>
      <x:c r="E53" s="2"/>
      <x:c r="F53" s="2"/>
      <x:c r="G53" s="2"/>
      <x:c r="H53" s="2"/>
    </x:row>
    <x:row r="54">
      <x:c r="A54" s="2" t="n">
        <x:v>48</x:v>
      </x:c>
      <x:c r="B54" s="8" t="n">
        <x:v>89.044</x:v>
      </x:c>
      <x:c r="C54" s="2" t="n">
        <x:v>1</x:v>
      </x:c>
      <x:c r="D54" s="2"/>
      <x:c r="E54" s="2"/>
      <x:c r="F54" s="2"/>
      <x:c r="G54" s="2"/>
      <x:c r="H54" s="2"/>
    </x:row>
    <x:row r="55">
      <x:c r="A55" s="2" t="n">
        <x:v>49</x:v>
      </x:c>
      <x:c r="B55" s="8" t="n">
        <x:v>13.638</x:v>
      </x:c>
      <x:c r="C55" s="2" t="n">
        <x:v>1</x:v>
      </x:c>
      <x:c r="D55" s="2"/>
      <x:c r="E55" s="2"/>
      <x:c r="F55" s="2"/>
      <x:c r="G55" s="2"/>
      <x:c r="H55" s="2"/>
    </x:row>
    <x:row r="56">
      <x:c r="A56" s="2" t="n">
        <x:v>50</x:v>
      </x:c>
      <x:c r="B56" s="8" t="n">
        <x:v>45.328</x:v>
      </x:c>
      <x:c r="C56" s="2" t="n">
        <x:v>1</x:v>
      </x:c>
      <x:c r="D56" s="2"/>
      <x:c r="E56" s="2"/>
      <x:c r="F56" s="2"/>
      <x:c r="G56" s="2"/>
      <x:c r="H56" s="2"/>
    </x:row>
    <x:row r="57">
      <x:c r="A57" s="2" t="n">
        <x:v>51</x:v>
      </x:c>
      <x:c r="B57" s="8" t="n">
        <x:v>9.667</x:v>
      </x:c>
      <x:c r="C57" s="2" t="n">
        <x:v>1</x:v>
      </x:c>
      <x:c r="D57" s="2"/>
      <x:c r="E57" s="2"/>
      <x:c r="F57" s="2"/>
      <x:c r="G57" s="2"/>
      <x:c r="H57" s="2"/>
    </x:row>
    <x:row r="58">
      <x:c r="A58" s="2" t="n">
        <x:v>52</x:v>
      </x:c>
      <x:c r="B58" s="8" t="n">
        <x:v>13.01</x:v>
      </x:c>
      <x:c r="C58" s="2" t="n">
        <x:v>1</x:v>
      </x:c>
      <x:c r="D58" s="2"/>
      <x:c r="E58" s="2"/>
      <x:c r="F58" s="2"/>
      <x:c r="G58" s="2"/>
      <x:c r="H58" s="2"/>
    </x:row>
    <x:row r="59">
      <x:c r="A59" s="2" t="n">
        <x:v>53</x:v>
      </x:c>
      <x:c r="B59" s="8" t="n">
        <x:v>43.096</x:v>
      </x:c>
      <x:c r="C59" s="2" t="n">
        <x:v>1</x:v>
      </x:c>
      <x:c r="D59" s="2"/>
      <x:c r="E59" s="2"/>
      <x:c r="F59" s="2"/>
      <x:c r="G59" s="2"/>
      <x:c r="H59" s="2"/>
    </x:row>
    <x:row r="60">
      <x:c r="A60" s="2" t="n">
        <x:v>54</x:v>
      </x:c>
      <x:c r="B60" s="8" t="n">
        <x:v>10.495</x:v>
      </x:c>
      <x:c r="C60" s="2" t="n">
        <x:v>1</x:v>
      </x:c>
      <x:c r="D60" s="2"/>
      <x:c r="E60" s="2"/>
      <x:c r="F60" s="2"/>
      <x:c r="G60" s="2"/>
      <x:c r="H60" s="2"/>
    </x:row>
    <x:row r="61">
      <x:c r="A61" s="2" t="n">
        <x:v>55</x:v>
      </x:c>
      <x:c r="B61" s="8" t="n">
        <x:v>107.598</x:v>
      </x:c>
      <x:c r="C61" s="2" t="n">
        <x:v>1</x:v>
      </x:c>
      <x:c r="D61" s="2"/>
      <x:c r="E61" s="2"/>
      <x:c r="F61" s="2"/>
      <x:c r="G61" s="2"/>
      <x:c r="H61" s="2"/>
    </x:row>
    <x:row r="62">
      <x:c r="A62" s="2" t="n">
        <x:v>56</x:v>
      </x:c>
      <x:c r="B62" s="8" t="n">
        <x:v>29.378</x:v>
      </x:c>
      <x:c r="C62" s="2" t="n">
        <x:v>1</x:v>
      </x:c>
      <x:c r="D62" s="2"/>
      <x:c r="E62" s="2"/>
      <x:c r="F62" s="2"/>
      <x:c r="G62" s="2"/>
      <x:c r="H62" s="2"/>
    </x:row>
    <x:row r="63">
      <x:c r="A63" s="2" t="n">
        <x:v>57</x:v>
      </x:c>
      <x:c r="B63" s="8" t="n">
        <x:v>9.4</x:v>
      </x:c>
      <x:c r="C63" s="2" t="n">
        <x:v>1</x:v>
      </x:c>
      <x:c r="D63" s="2"/>
      <x:c r="E63" s="2"/>
      <x:c r="F63" s="2"/>
      <x:c r="G63" s="2"/>
      <x:c r="H63" s="2"/>
    </x:row>
    <x:row r="64">
      <x:c r="A64" s="2" t="n">
        <x:v>58</x:v>
      </x:c>
      <x:c r="B64" s="8" t="n">
        <x:v>29.769</x:v>
      </x:c>
      <x:c r="C64" s="2" t="n">
        <x:v>1</x:v>
      </x:c>
      <x:c r="D64" s="2"/>
      <x:c r="E64" s="2"/>
      <x:c r="F64" s="2"/>
      <x:c r="G64" s="2"/>
      <x:c r="H64" s="2"/>
    </x:row>
    <x:row r="65">
      <x:c r="A65" s="2" t="n">
        <x:v>59</x:v>
      </x:c>
      <x:c r="B65" s="8" t="n">
        <x:v>61.878</x:v>
      </x:c>
      <x:c r="C65" s="2" t="n">
        <x:v>1</x:v>
      </x:c>
      <x:c r="D65" s="2"/>
      <x:c r="E65" s="2"/>
      <x:c r="F65" s="2"/>
      <x:c r="G65" s="2"/>
      <x:c r="H65" s="2"/>
    </x:row>
    <x:row r="66">
      <x:c r="A66" s="2" t="n">
        <x:v>60</x:v>
      </x:c>
      <x:c r="B66" s="8" t="n">
        <x:v>24.202</x:v>
      </x:c>
      <x:c r="C66" s="2" t="n">
        <x:v>1</x:v>
      </x:c>
      <x:c r="D66" s="2"/>
      <x:c r="E66" s="2"/>
      <x:c r="F66" s="2"/>
      <x:c r="G66" s="2"/>
      <x:c r="H66" s="2"/>
    </x:row>
    <x:row r="67">
      <x:c r="A67" s="2" t="n">
        <x:v>61</x:v>
      </x:c>
      <x:c r="B67" s="8" t="n">
        <x:v>22.874</x:v>
      </x:c>
      <x:c r="C67" s="2" t="n">
        <x:v>1</x:v>
      </x:c>
      <x:c r="D67" s="2"/>
      <x:c r="E67" s="2"/>
      <x:c r="F67" s="2"/>
      <x:c r="G67" s="2"/>
      <x:c r="H67" s="2"/>
    </x:row>
    <x:row r="68">
      <x:c r="A68" s="2" t="n">
        <x:v>62</x:v>
      </x:c>
      <x:c r="B68" s="8" t="n">
        <x:v>11.282</x:v>
      </x:c>
      <x:c r="C68" s="2" t="n">
        <x:v>1</x:v>
      </x:c>
      <x:c r="D68" s="2"/>
      <x:c r="E68" s="2"/>
      <x:c r="F68" s="2"/>
      <x:c r="G68" s="2"/>
      <x:c r="H68" s="2"/>
    </x:row>
    <x:row r="69">
      <x:c r="A69" s="2" t="n">
        <x:v>63</x:v>
      </x:c>
      <x:c r="B69" s="8" t="n">
        <x:v>14.006</x:v>
      </x:c>
      <x:c r="C69" s="2" t="n">
        <x:v>1</x:v>
      </x:c>
      <x:c r="D69" s="2"/>
      <x:c r="E69" s="2"/>
      <x:c r="F69" s="2"/>
      <x:c r="G69" s="2"/>
      <x:c r="H69" s="2"/>
    </x:row>
    <x:row r="70">
      <x:c r="A70" s="2" t="n">
        <x:v>64</x:v>
      </x:c>
      <x:c r="B70" s="8" t="n">
        <x:v>58.364</x:v>
      </x:c>
      <x:c r="C70" s="2" t="n">
        <x:v>1</x:v>
      </x:c>
      <x:c r="D70" s="2"/>
      <x:c r="E70" s="2"/>
      <x:c r="F70" s="2"/>
      <x:c r="G70" s="2"/>
      <x:c r="H70" s="2"/>
    </x:row>
    <x:row r="71">
      <x:c r="A71" s="2" t="n">
        <x:v>65</x:v>
      </x:c>
      <x:c r="B71" s="8" t="n">
        <x:v>12.307</x:v>
      </x:c>
      <x:c r="C71" s="2" t="n">
        <x:v>1</x:v>
      </x:c>
      <x:c r="D71" s="2"/>
      <x:c r="E71" s="2"/>
      <x:c r="F71" s="2"/>
      <x:c r="G71" s="2"/>
      <x:c r="H71" s="2"/>
    </x:row>
    <x:row r="72">
      <x:c r="A72" s="2" t="n">
        <x:v>66</x:v>
      </x:c>
      <x:c r="B72" s="8" t="n">
        <x:v>11.947</x:v>
      </x:c>
      <x:c r="C72" s="2" t="n">
        <x:v>1</x:v>
      </x:c>
      <x:c r="D72" s="2"/>
      <x:c r="E72" s="2"/>
      <x:c r="F72" s="2"/>
      <x:c r="G72" s="2"/>
      <x:c r="H72" s="2"/>
    </x:row>
    <x:row r="73">
      <x:c r="A73" s="2" t="n">
        <x:v>67</x:v>
      </x:c>
      <x:c r="B73" s="8" t="n">
        <x:v>13.407</x:v>
      </x:c>
      <x:c r="C73" s="2" t="n">
        <x:v>1</x:v>
      </x:c>
      <x:c r="D73" s="2"/>
      <x:c r="E73" s="2"/>
      <x:c r="F73" s="2"/>
      <x:c r="G73" s="2"/>
      <x:c r="H73" s="2"/>
    </x:row>
    <x:row r="74">
      <x:c r="A74" s="2" t="n">
        <x:v>68</x:v>
      </x:c>
      <x:c r="B74" s="8" t="n">
        <x:v>42.274</x:v>
      </x:c>
      <x:c r="C74" s="2" t="n">
        <x:v>1</x:v>
      </x:c>
      <x:c r="D74" s="2"/>
      <x:c r="E74" s="2"/>
      <x:c r="F74" s="2"/>
      <x:c r="G74" s="2"/>
      <x:c r="H74" s="2"/>
    </x:row>
    <x:row r="75">
      <x:c r="A75" s="2" t="n">
        <x:v>69</x:v>
      </x:c>
      <x:c r="B75" s="8" t="n">
        <x:v>9.505</x:v>
      </x:c>
      <x:c r="C75" s="2" t="n">
        <x:v>1</x:v>
      </x:c>
      <x:c r="D75" s="2"/>
      <x:c r="E75" s="2"/>
      <x:c r="F75" s="2"/>
      <x:c r="G75" s="2"/>
      <x:c r="H75" s="2"/>
    </x:row>
    <x:row r="76">
      <x:c r="A76" s="2" t="n">
        <x:v>70</x:v>
      </x:c>
      <x:c r="B76" s="8" t="n">
        <x:v>42.745</x:v>
      </x:c>
      <x:c r="C76" s="2" t="n">
        <x:v>1</x:v>
      </x:c>
      <x:c r="D76" s="2"/>
      <x:c r="E76" s="2"/>
      <x:c r="F76" s="2"/>
      <x:c r="G76" s="2"/>
      <x:c r="H76" s="2"/>
    </x:row>
    <x:row r="77">
      <x:c r="A77" s="2" t="n">
        <x:v>71</x:v>
      </x:c>
      <x:c r="B77" s="8" t="n">
        <x:v>13.829</x:v>
      </x:c>
      <x:c r="C77" s="2" t="n">
        <x:v>1</x:v>
      </x:c>
      <x:c r="D77" s="2"/>
      <x:c r="E77" s="2"/>
      <x:c r="F77" s="2"/>
      <x:c r="G77" s="2"/>
      <x:c r="H77" s="2"/>
    </x:row>
    <x:row r="78">
      <x:c r="A78" s="2" t="n">
        <x:v>72</x:v>
      </x:c>
      <x:c r="B78" s="8" t="n">
        <x:v>60.094</x:v>
      </x:c>
      <x:c r="C78" s="2" t="n">
        <x:v>1</x:v>
      </x:c>
      <x:c r="D78" s="2"/>
      <x:c r="E78" s="2"/>
      <x:c r="F78" s="2"/>
      <x:c r="G78" s="2"/>
      <x:c r="H78" s="2"/>
    </x:row>
    <x:row r="79">
      <x:c r="A79" s="2" t="n">
        <x:v>73</x:v>
      </x:c>
      <x:c r="B79" s="8" t="n">
        <x:v>208.004</x:v>
      </x:c>
      <x:c r="C79" s="2" t="n">
        <x:v>1</x:v>
      </x:c>
      <x:c r="D79" s="2"/>
      <x:c r="E79" s="2"/>
      <x:c r="F79" s="2"/>
      <x:c r="G79" s="2"/>
      <x:c r="H79" s="2"/>
    </x:row>
    <x:row r="80">
      <x:c r="A80" s="2" t="n">
        <x:v>74</x:v>
      </x:c>
      <x:c r="B80" s="8" t="n">
        <x:v>59.835</x:v>
      </x:c>
      <x:c r="C80" s="2" t="n">
        <x:v>1</x:v>
      </x:c>
      <x:c r="D80" s="2"/>
      <x:c r="E80" s="2"/>
      <x:c r="F80" s="2"/>
      <x:c r="G80" s="2"/>
      <x:c r="H80" s="2"/>
    </x:row>
    <x:row r="81">
      <x:c r="A81" s="2" t="n">
        <x:v>75</x:v>
      </x:c>
      <x:c r="B81" s="8" t="n">
        <x:v>11.86</x:v>
      </x:c>
      <x:c r="C81" s="2" t="n">
        <x:v>1</x:v>
      </x:c>
      <x:c r="D81" s="2"/>
      <x:c r="E81" s="2"/>
      <x:c r="F81" s="2"/>
      <x:c r="G81" s="2"/>
      <x:c r="H81" s="2"/>
    </x:row>
    <x:row r="82">
      <x:c r="A82" s="2" t="n">
        <x:v>76</x:v>
      </x:c>
      <x:c r="B82" s="8" t="n">
        <x:v>14.196</x:v>
      </x:c>
      <x:c r="C82" s="2" t="n">
        <x:v>1</x:v>
      </x:c>
      <x:c r="D82" s="2"/>
      <x:c r="E82" s="2"/>
      <x:c r="F82" s="2"/>
      <x:c r="G82" s="2"/>
      <x:c r="H82" s="2"/>
    </x:row>
    <x:row r="83">
      <x:c r="A83" s="2" t="n">
        <x:v>77</x:v>
      </x:c>
      <x:c r="B83" s="8" t="n">
        <x:v>17.122</x:v>
      </x:c>
      <x:c r="C83" s="2" t="n">
        <x:v>1</x:v>
      </x:c>
      <x:c r="D83" s="2"/>
      <x:c r="E83" s="2"/>
      <x:c r="F83" s="2"/>
      <x:c r="G83" s="2"/>
      <x:c r="H83" s="2"/>
    </x:row>
    <x:row r="84">
      <x:c r="A84" s="2" t="n">
        <x:v>78</x:v>
      </x:c>
      <x:c r="B84" s="8" t="n">
        <x:v>47.508</x:v>
      </x:c>
      <x:c r="C84" s="2" t="n">
        <x:v>1</x:v>
      </x:c>
      <x:c r="D84" s="2"/>
      <x:c r="E84" s="2"/>
      <x:c r="F84" s="2"/>
      <x:c r="G84" s="2"/>
      <x:c r="H84" s="2"/>
    </x:row>
    <x:row r="85">
      <x:c r="A85" s="2" t="n">
        <x:v>79</x:v>
      </x:c>
      <x:c r="B85" s="8" t="n">
        <x:v>16.274</x:v>
      </x:c>
      <x:c r="C85" s="2" t="n">
        <x:v>1</x:v>
      </x:c>
      <x:c r="D85" s="2"/>
      <x:c r="E85" s="2"/>
      <x:c r="F85" s="2"/>
      <x:c r="G85" s="2"/>
      <x:c r="H85" s="2"/>
    </x:row>
    <x:row r="86">
      <x:c r="A86" s="2" t="n">
        <x:v>80</x:v>
      </x:c>
      <x:c r="B86" s="8" t="n">
        <x:v>47.062</x:v>
      </x:c>
      <x:c r="C86" s="2" t="n">
        <x:v>1</x:v>
      </x:c>
      <x:c r="D86" s="2"/>
      <x:c r="E86" s="2"/>
      <x:c r="F86" s="2"/>
      <x:c r="G86" s="2"/>
      <x:c r="H86" s="2"/>
    </x:row>
    <x:row r="87">
      <x:c r="A87" s="2" t="n">
        <x:v>81</x:v>
      </x:c>
      <x:c r="B87" s="8" t="n">
        <x:v>33.821</x:v>
      </x:c>
      <x:c r="C87" s="2" t="n">
        <x:v>1</x:v>
      </x:c>
      <x:c r="D87" s="2"/>
      <x:c r="E87" s="2"/>
      <x:c r="F87" s="2"/>
      <x:c r="G87" s="2"/>
      <x:c r="H87" s="2"/>
    </x:row>
    <x:row r="88">
      <x:c r="A88" s="2" t="n">
        <x:v>82</x:v>
      </x:c>
      <x:c r="B88" s="8" t="n">
        <x:v>11.045</x:v>
      </x:c>
      <x:c r="C88" s="2" t="n">
        <x:v>1</x:v>
      </x:c>
      <x:c r="D88" s="2"/>
      <x:c r="E88" s="2"/>
      <x:c r="F88" s="2"/>
      <x:c r="G88" s="2"/>
      <x:c r="H88" s="2"/>
    </x:row>
    <x:row r="89">
      <x:c r="A89" s="2" t="n">
        <x:v>83</x:v>
      </x:c>
      <x:c r="B89" s="8" t="n">
        <x:v>9.513</x:v>
      </x:c>
      <x:c r="C89" s="2" t="n">
        <x:v>1</x:v>
      </x:c>
      <x:c r="D89" s="2"/>
      <x:c r="E89" s="2"/>
      <x:c r="F89" s="2"/>
      <x:c r="G89" s="2"/>
      <x:c r="H89" s="2"/>
    </x:row>
    <x:row r="90">
      <x:c r="A90" s="2" t="n">
        <x:v>84</x:v>
      </x:c>
      <x:c r="B90" s="8" t="n">
        <x:v>18.847</x:v>
      </x:c>
      <x:c r="C90" s="2" t="n">
        <x:v>1</x:v>
      </x:c>
      <x:c r="D90" s="2"/>
      <x:c r="E90" s="2"/>
      <x:c r="F90" s="2"/>
      <x:c r="G90" s="2"/>
      <x:c r="H90" s="2"/>
    </x:row>
    <x:row r="91">
      <x:c r="A91" s="2" t="n">
        <x:v>85</x:v>
      </x:c>
      <x:c r="B91" s="8" t="n">
        <x:v>34.401</x:v>
      </x:c>
      <x:c r="C91" s="2" t="n">
        <x:v>1</x:v>
      </x:c>
      <x:c r="D91" s="2"/>
      <x:c r="E91" s="2"/>
      <x:c r="F91" s="2"/>
      <x:c r="G91" s="2"/>
      <x:c r="H91" s="2"/>
    </x:row>
    <x:row r="92">
      <x:c r="A92" s="2" t="n">
        <x:v>86</x:v>
      </x:c>
      <x:c r="B92" s="8" t="n">
        <x:v>56.309</x:v>
      </x:c>
      <x:c r="C92" s="2" t="n">
        <x:v>1</x:v>
      </x:c>
      <x:c r="D92" s="2"/>
      <x:c r="E92" s="2"/>
      <x:c r="F92" s="2"/>
      <x:c r="G92" s="2"/>
      <x:c r="H92" s="2"/>
    </x:row>
    <x:row r="93">
      <x:c r="A93" s="2" t="n">
        <x:v>87</x:v>
      </x:c>
      <x:c r="B93" s="8" t="n">
        <x:v>12.266</x:v>
      </x:c>
      <x:c r="C93" s="2" t="n">
        <x:v>1</x:v>
      </x:c>
      <x:c r="D93" s="2"/>
      <x:c r="E93" s="2"/>
      <x:c r="F93" s="2"/>
      <x:c r="G93" s="2"/>
      <x:c r="H93" s="2"/>
    </x:row>
    <x:row r="94">
      <x:c r="A94" s="2" t="n">
        <x:v>88</x:v>
      </x:c>
      <x:c r="B94" s="8" t="n">
        <x:v>13.5</x:v>
      </x:c>
      <x:c r="C94" s="2" t="n">
        <x:v>1</x:v>
      </x:c>
      <x:c r="D94" s="2"/>
      <x:c r="E94" s="2"/>
      <x:c r="F94" s="2"/>
      <x:c r="G94" s="2"/>
      <x:c r="H94" s="2"/>
    </x:row>
    <x:row r="95">
      <x:c r="A95" s="2" t="n">
        <x:v>89</x:v>
      </x:c>
      <x:c r="B95" s="8" t="n">
        <x:v>25.874</x:v>
      </x:c>
      <x:c r="C95" s="2" t="n">
        <x:v>1</x:v>
      </x:c>
      <x:c r="D95" s="2"/>
      <x:c r="E95" s="2"/>
      <x:c r="F95" s="2"/>
      <x:c r="G95" s="2"/>
      <x:c r="H95" s="2"/>
    </x:row>
    <x:row r="96">
      <x:c r="A96" s="2" t="n">
        <x:v>90</x:v>
      </x:c>
      <x:c r="B96" s="8" t="n">
        <x:v>15.79</x:v>
      </x:c>
      <x:c r="C96" s="2" t="n">
        <x:v>1</x:v>
      </x:c>
      <x:c r="D96" s="2"/>
      <x:c r="E96" s="2"/>
      <x:c r="F96" s="2"/>
      <x:c r="G96" s="2"/>
      <x:c r="H96" s="2"/>
    </x:row>
    <x:row r="97">
      <x:c r="A97" s="2" t="n">
        <x:v>91</x:v>
      </x:c>
      <x:c r="B97" s="8" t="n">
        <x:v>28.063</x:v>
      </x:c>
      <x:c r="C97" s="2" t="n">
        <x:v>1</x:v>
      </x:c>
      <x:c r="D97" s="2"/>
      <x:c r="E97" s="2"/>
      <x:c r="F97" s="2"/>
      <x:c r="G97" s="2"/>
      <x:c r="H97" s="2"/>
    </x:row>
    <x:row r="98">
      <x:c r="A98" s="2" t="n">
        <x:v>92</x:v>
      </x:c>
      <x:c r="B98" s="8" t="n">
        <x:v>33.77</x:v>
      </x:c>
      <x:c r="C98" s="2" t="n">
        <x:v>1</x:v>
      </x:c>
      <x:c r="D98" s="2"/>
      <x:c r="E98" s="2"/>
      <x:c r="F98" s="2"/>
      <x:c r="G98" s="2"/>
      <x:c r="H98" s="2"/>
    </x:row>
    <x:row r="99">
      <x:c r="A99" s="2" t="n">
        <x:v>93</x:v>
      </x:c>
      <x:c r="B99" s="8" t="n">
        <x:v>32.328</x:v>
      </x:c>
      <x:c r="C99" s="2" t="n">
        <x:v>1</x:v>
      </x:c>
      <x:c r="D99" s="2"/>
      <x:c r="E99" s="2"/>
      <x:c r="F99" s="2"/>
      <x:c r="G99" s="2"/>
      <x:c r="H99" s="2"/>
    </x:row>
    <x:row r="100">
      <x:c r="A100" s="2" t="n">
        <x:v>94</x:v>
      </x:c>
      <x:c r="B100" s="8" t="n">
        <x:v>37.348</x:v>
      </x:c>
      <x:c r="C100" s="2" t="n">
        <x:v>1</x:v>
      </x:c>
      <x:c r="D100" s="2"/>
      <x:c r="E100" s="2"/>
      <x:c r="F100" s="2"/>
      <x:c r="G100" s="2"/>
      <x:c r="H100" s="2"/>
    </x:row>
    <x:row r="101">
      <x:c r="A101" s="2" t="n">
        <x:v>95</x:v>
      </x:c>
      <x:c r="B101" s="8" t="n">
        <x:v>24.393</x:v>
      </x:c>
      <x:c r="C101" s="2" t="n">
        <x:v>1</x:v>
      </x:c>
      <x:c r="D101" s="2"/>
      <x:c r="E101" s="2"/>
      <x:c r="F101" s="2"/>
      <x:c r="G101" s="2"/>
      <x:c r="H101" s="2"/>
    </x:row>
    <x:row r="102">
      <x:c r="A102" s="2" t="n">
        <x:v>96</x:v>
      </x:c>
      <x:c r="B102" s="8" t="n">
        <x:v>88.247</x:v>
      </x:c>
      <x:c r="C102" s="2" t="n">
        <x:v>1</x:v>
      </x:c>
      <x:c r="D102" s="2"/>
      <x:c r="E102" s="2"/>
      <x:c r="F102" s="2"/>
      <x:c r="G102" s="2"/>
      <x:c r="H102" s="2"/>
    </x:row>
    <x:row r="103">
      <x:c r="A103" s="2" t="n">
        <x:v>97</x:v>
      </x:c>
      <x:c r="B103" s="8" t="n">
        <x:v>29.975</x:v>
      </x:c>
      <x:c r="C103" s="2" t="n">
        <x:v>1</x:v>
      </x:c>
      <x:c r="D103" s="2"/>
      <x:c r="E103" s="2"/>
      <x:c r="F103" s="2"/>
      <x:c r="G103" s="2"/>
      <x:c r="H103" s="2"/>
    </x:row>
    <x:row r="104">
      <x:c r="A104" s="2" t="n">
        <x:v>98</x:v>
      </x:c>
      <x:c r="B104" s="8" t="n">
        <x:v>60.793</x:v>
      </x:c>
      <x:c r="C104" s="2" t="n">
        <x:v>1</x:v>
      </x:c>
      <x:c r="D104" s="2"/>
      <x:c r="E104" s="2"/>
      <x:c r="F104" s="2"/>
      <x:c r="G104" s="2"/>
      <x:c r="H104" s="2"/>
    </x:row>
    <x:row r="105">
      <x:c r="A105" s="2" t="n">
        <x:v>99</x:v>
      </x:c>
      <x:c r="B105" s="8" t="n">
        <x:v>11.4</x:v>
      </x:c>
      <x:c r="C105" s="2" t="n">
        <x:v>1</x:v>
      </x:c>
      <x:c r="D105" s="2"/>
      <x:c r="E105" s="2"/>
      <x:c r="F105" s="2"/>
      <x:c r="G105" s="2"/>
      <x:c r="H105" s="2"/>
    </x:row>
    <x:row r="106">
      <x:c r="A106" s="2" t="n">
        <x:v>100</x:v>
      </x:c>
      <x:c r="B106" s="8" t="n">
        <x:v>25.829</x:v>
      </x:c>
      <x:c r="C106" s="2" t="n">
        <x:v>1</x:v>
      </x:c>
      <x:c r="D106" s="2"/>
      <x:c r="E106" s="2"/>
      <x:c r="F106" s="2"/>
      <x:c r="G106" s="2"/>
      <x:c r="H106" s="2"/>
    </x:row>
    <x:row r="107">
      <x:c r="A107" s="2" t="n">
        <x:v>101</x:v>
      </x:c>
      <x:c r="B107" s="8" t="n">
        <x:v>17.069</x:v>
      </x:c>
      <x:c r="C107" s="2" t="n">
        <x:v>1</x:v>
      </x:c>
      <x:c r="D107" s="2"/>
      <x:c r="E107" s="2"/>
      <x:c r="F107" s="2"/>
      <x:c r="G107" s="2"/>
      <x:c r="H107" s="2"/>
    </x:row>
    <x:row r="108">
      <x:c r="A108" s="2" t="n">
        <x:v>102</x:v>
      </x:c>
      <x:c r="B108" s="8" t="n">
        <x:v>104.518</x:v>
      </x:c>
      <x:c r="C108" s="2" t="n">
        <x:v>1</x:v>
      </x:c>
      <x:c r="D108" s="2"/>
      <x:c r="E108" s="2"/>
      <x:c r="F108" s="2"/>
      <x:c r="G108" s="2"/>
      <x:c r="H108" s="2"/>
    </x:row>
    <x:row r="109">
      <x:c r="A109" s="2" t="n">
        <x:v>103</x:v>
      </x:c>
      <x:c r="B109" s="8" t="n">
        <x:v>287.754</x:v>
      </x:c>
      <x:c r="C109" s="2" t="n">
        <x:v>1</x:v>
      </x:c>
      <x:c r="D109" s="2"/>
      <x:c r="E109" s="2"/>
      <x:c r="F109" s="2"/>
      <x:c r="G109" s="2"/>
      <x:c r="H109" s="2"/>
    </x:row>
    <x:row r="110">
      <x:c r="A110" s="2" t="n">
        <x:v>104</x:v>
      </x:c>
      <x:c r="B110" s="8" t="n">
        <x:v>777.011</x:v>
      </x:c>
      <x:c r="C110" s="2" t="n">
        <x:v>1</x:v>
      </x:c>
      <x:c r="D110" s="2"/>
      <x:c r="E110" s="2"/>
      <x:c r="F110" s="2"/>
      <x:c r="G110" s="2"/>
      <x:c r="H110" s="2"/>
    </x:row>
    <x:row r="111">
      <x:c r="A111" s="2" t="n">
        <x:v>105</x:v>
      </x:c>
      <x:c r="B111" s="8" t="n">
        <x:v>660.821</x:v>
      </x:c>
      <x:c r="C111" s="2" t="n">
        <x:v>1</x:v>
      </x:c>
      <x:c r="D111" s="2"/>
      <x:c r="E111" s="2"/>
      <x:c r="F111" s="2"/>
      <x:c r="G111" s="2"/>
      <x:c r="H111" s="2"/>
    </x:row>
    <x:row r="112">
      <x:c r="A112" s="2" t="n">
        <x:v>106</x:v>
      </x:c>
      <x:c r="B112" s="8" t="n">
        <x:v>8.073</x:v>
      </x:c>
      <x:c r="C112" s="2" t="n">
        <x:v>1</x:v>
      </x:c>
      <x:c r="D112" s="2"/>
      <x:c r="E112" s="2"/>
      <x:c r="F112" s="2"/>
      <x:c r="G112" s="2"/>
      <x:c r="H112" s="2"/>
    </x:row>
    <x:row r="113">
      <x:c r="A113" s="2" t="n">
        <x:v>107</x:v>
      </x:c>
      <x:c r="B113" s="8" t="n">
        <x:v>9.232</x:v>
      </x:c>
      <x:c r="C113" s="2" t="n">
        <x:v>1</x:v>
      </x:c>
      <x:c r="D113" s="2"/>
      <x:c r="E113" s="2"/>
      <x:c r="F113" s="2"/>
      <x:c r="G113" s="2"/>
      <x:c r="H113" s="2"/>
    </x:row>
    <x:row r="114">
      <x:c r="A114" s="2" t="n">
        <x:v>108</x:v>
      </x:c>
      <x:c r="B114" s="8" t="n">
        <x:v>9.744</x:v>
      </x:c>
      <x:c r="C114" s="2" t="n">
        <x:v>1</x:v>
      </x:c>
      <x:c r="D114" s="2"/>
      <x:c r="E114" s="2"/>
      <x:c r="F114" s="2"/>
      <x:c r="G114" s="2"/>
      <x:c r="H114" s="2"/>
    </x:row>
    <x:row r="115">
      <x:c r="A115" s="2" t="n">
        <x:v>109</x:v>
      </x:c>
      <x:c r="B115" s="8" t="n">
        <x:v>44.779</x:v>
      </x:c>
      <x:c r="C115" s="2" t="n">
        <x:v>1</x:v>
      </x:c>
      <x:c r="D115" s="2"/>
      <x:c r="E115" s="2"/>
      <x:c r="F115" s="2"/>
      <x:c r="G115" s="2"/>
      <x:c r="H115" s="2"/>
    </x:row>
    <x:row r="116">
      <x:c r="A116" s="2" t="n">
        <x:v>110</x:v>
      </x:c>
      <x:c r="B116" s="8" t="n">
        <x:v>8.658</x:v>
      </x:c>
      <x:c r="C116" s="2" t="n">
        <x:v>1</x:v>
      </x:c>
      <x:c r="D116" s="2"/>
      <x:c r="E116" s="2"/>
      <x:c r="F116" s="2"/>
      <x:c r="G116" s="2"/>
      <x:c r="H116" s="2"/>
    </x:row>
    <x:row r="117">
      <x:c r="A117" s="2" t="n">
        <x:v>111</x:v>
      </x:c>
      <x:c r="B117" s="8" t="n">
        <x:v>9.806</x:v>
      </x:c>
      <x:c r="C117" s="2" t="n">
        <x:v>1</x:v>
      </x:c>
      <x:c r="D117" s="2"/>
      <x:c r="E117" s="2"/>
      <x:c r="F117" s="2"/>
      <x:c r="G117" s="2"/>
      <x:c r="H117" s="2"/>
    </x:row>
    <x:row r="118">
      <x:c r="A118" s="2" t="n">
        <x:v>112</x:v>
      </x:c>
      <x:c r="B118" s="8" t="n">
        <x:v>37.305</x:v>
      </x:c>
      <x:c r="C118" s="2" t="n">
        <x:v>1</x:v>
      </x:c>
      <x:c r="D118" s="2"/>
      <x:c r="E118" s="2"/>
      <x:c r="F118" s="2"/>
      <x:c r="G118" s="2"/>
      <x:c r="H118" s="2"/>
    </x:row>
    <x:row r="119">
      <x:c r="A119" s="2" t="n">
        <x:v>113</x:v>
      </x:c>
      <x:c r="B119" s="8" t="n">
        <x:v>10.646</x:v>
      </x:c>
      <x:c r="C119" s="2" t="n">
        <x:v>1</x:v>
      </x:c>
      <x:c r="D119" s="2"/>
      <x:c r="E119" s="2"/>
      <x:c r="F119" s="2"/>
      <x:c r="G119" s="2"/>
      <x:c r="H119" s="2"/>
    </x:row>
    <x:row r="120">
      <x:c r="A120" s="2" t="n">
        <x:v>114</x:v>
      </x:c>
      <x:c r="B120" s="8" t="n">
        <x:v>12.538</x:v>
      </x:c>
      <x:c r="C120" s="2" t="n">
        <x:v>1</x:v>
      </x:c>
      <x:c r="D120" s="2"/>
      <x:c r="E120" s="2"/>
      <x:c r="F120" s="2"/>
      <x:c r="G120" s="2"/>
      <x:c r="H120" s="2"/>
    </x:row>
    <x:row r="121">
      <x:c r="A121" s="2" t="n">
        <x:v>115</x:v>
      </x:c>
      <x:c r="B121" s="8" t="n">
        <x:v>15.449</x:v>
      </x:c>
      <x:c r="C121" s="2" t="n">
        <x:v>1</x:v>
      </x:c>
      <x:c r="D121" s="2"/>
      <x:c r="E121" s="2"/>
      <x:c r="F121" s="2"/>
      <x:c r="G121" s="2"/>
      <x:c r="H121" s="2"/>
    </x:row>
    <x:row r="122">
      <x:c r="A122" s="2" t="n">
        <x:v>116</x:v>
      </x:c>
      <x:c r="B122" s="8" t="n">
        <x:v>82.504</x:v>
      </x:c>
      <x:c r="C122" s="2" t="n">
        <x:v>1</x:v>
      </x:c>
      <x:c r="D122" s="2"/>
      <x:c r="E122" s="2"/>
      <x:c r="F122" s="2"/>
      <x:c r="G122" s="2"/>
      <x:c r="H122" s="2"/>
    </x:row>
    <x:row r="123">
      <x:c r="A123" s="2" t="n">
        <x:v>117</x:v>
      </x:c>
      <x:c r="B123" s="8" t="n">
        <x:v>21.243</x:v>
      </x:c>
      <x:c r="C123" s="2" t="n">
        <x:v>1</x:v>
      </x:c>
      <x:c r="D123" s="2"/>
      <x:c r="E123" s="2"/>
      <x:c r="F123" s="2"/>
      <x:c r="G123" s="2"/>
      <x:c r="H123" s="2"/>
    </x:row>
    <x:row r="124">
      <x:c r="A124" s="2" t="n">
        <x:v>118</x:v>
      </x:c>
      <x:c r="B124" s="8" t="n">
        <x:v>26.512</x:v>
      </x:c>
      <x:c r="C124" s="2" t="n">
        <x:v>1</x:v>
      </x:c>
      <x:c r="D124" s="2"/>
      <x:c r="E124" s="2"/>
      <x:c r="F124" s="2"/>
      <x:c r="G124" s="2"/>
      <x:c r="H124" s="2"/>
    </x:row>
    <x:row r="125">
      <x:c r="A125" s="2" t="n">
        <x:v>119</x:v>
      </x:c>
      <x:c r="B125" s="8" t="n">
        <x:v>36.918</x:v>
      </x:c>
      <x:c r="C125" s="2" t="n">
        <x:v>1</x:v>
      </x:c>
      <x:c r="D125" s="2"/>
      <x:c r="E125" s="2"/>
      <x:c r="F125" s="2"/>
      <x:c r="G125" s="2"/>
      <x:c r="H125" s="2"/>
    </x:row>
    <x:row r="126">
      <x:c r="A126" s="2" t="n">
        <x:v>120</x:v>
      </x:c>
      <x:c r="B126" s="8" t="n">
        <x:v>46.727</x:v>
      </x:c>
      <x:c r="C126" s="2" t="n">
        <x:v>1</x:v>
      </x:c>
      <x:c r="D126" s="2"/>
      <x:c r="E126" s="2"/>
      <x:c r="F126" s="2"/>
      <x:c r="G126" s="2"/>
      <x:c r="H126" s="2"/>
    </x:row>
    <x:row r="127">
      <x:c r="A127" s="2" t="n">
        <x:v>121</x:v>
      </x:c>
      <x:c r="B127" s="8" t="n">
        <x:v>212.828</x:v>
      </x:c>
      <x:c r="C127" s="2" t="n">
        <x:v>1</x:v>
      </x:c>
      <x:c r="D127" s="2"/>
      <x:c r="E127" s="2"/>
      <x:c r="F127" s="2"/>
      <x:c r="G127" s="2"/>
      <x:c r="H127" s="2"/>
    </x:row>
    <x:row r="128">
      <x:c r="A128" s="2" t="n">
        <x:v>122</x:v>
      </x:c>
      <x:c r="B128" s="8" t="n">
        <x:v>6.982</x:v>
      </x:c>
      <x:c r="C128" s="2" t="n">
        <x:v>1</x:v>
      </x:c>
      <x:c r="D128" s="2"/>
      <x:c r="E128" s="2"/>
      <x:c r="F128" s="2"/>
      <x:c r="G128" s="2"/>
      <x:c r="H128" s="2"/>
    </x:row>
    <x:row r="129">
      <x:c r="A129" s="2" t="n">
        <x:v>123</x:v>
      </x:c>
      <x:c r="B129" s="8" t="n">
        <x:v>56.717</x:v>
      </x:c>
      <x:c r="C129" s="2" t="n">
        <x:v>1</x:v>
      </x:c>
      <x:c r="D129" s="2"/>
      <x:c r="E129" s="2"/>
      <x:c r="F129" s="2"/>
      <x:c r="G129" s="2"/>
      <x:c r="H129" s="2"/>
    </x:row>
    <x:row r="130">
      <x:c r="A130" s="2" t="n">
        <x:v>124</x:v>
      </x:c>
      <x:c r="B130" s="8" t="n">
        <x:v>8.57</x:v>
      </x:c>
      <x:c r="C130" s="2" t="n">
        <x:v>1</x:v>
      </x:c>
      <x:c r="D130" s="2"/>
      <x:c r="E130" s="2"/>
      <x:c r="F130" s="2"/>
      <x:c r="G130" s="2"/>
      <x:c r="H130" s="2"/>
    </x:row>
    <x:row r="131">
      <x:c r="A131" s="2" t="n">
        <x:v>125</x:v>
      </x:c>
      <x:c r="B131" s="8" t="n">
        <x:v>9.344</x:v>
      </x:c>
      <x:c r="C131" s="2" t="n">
        <x:v>1</x:v>
      </x:c>
      <x:c r="D131" s="2"/>
      <x:c r="E131" s="2"/>
      <x:c r="F131" s="2"/>
      <x:c r="G131" s="2"/>
      <x:c r="H131" s="2"/>
    </x:row>
    <x:row r="132">
      <x:c r="A132" s="2" t="n">
        <x:v>126</x:v>
      </x:c>
      <x:c r="B132" s="8" t="n">
        <x:v>110.478</x:v>
      </x:c>
      <x:c r="C132" s="2" t="n">
        <x:v>1</x:v>
      </x:c>
      <x:c r="D132" s="2"/>
      <x:c r="E132" s="2"/>
      <x:c r="F132" s="2"/>
      <x:c r="G132" s="2"/>
      <x:c r="H132" s="2"/>
    </x:row>
    <x:row r="133">
      <x:c r="A133" s="2" t="n">
        <x:v>127</x:v>
      </x:c>
      <x:c r="B133" s="8" t="n">
        <x:v>7.989</x:v>
      </x:c>
      <x:c r="C133" s="2" t="n">
        <x:v>1</x:v>
      </x:c>
      <x:c r="D133" s="2"/>
      <x:c r="E133" s="2"/>
      <x:c r="F133" s="2"/>
      <x:c r="G133" s="2"/>
      <x:c r="H133" s="2"/>
    </x:row>
    <x:row r="134">
      <x:c r="A134" s="2" t="n">
        <x:v>128</x:v>
      </x:c>
      <x:c r="B134" s="8" t="n">
        <x:v>9.525</x:v>
      </x:c>
      <x:c r="C134" s="2" t="n">
        <x:v>1</x:v>
      </x:c>
      <x:c r="D134" s="2"/>
      <x:c r="E134" s="2"/>
      <x:c r="F134" s="2"/>
      <x:c r="G134" s="2"/>
      <x:c r="H134" s="2"/>
    </x:row>
    <x:row r="135">
      <x:c r="A135" s="2" t="n">
        <x:v>129</x:v>
      </x:c>
      <x:c r="B135" s="8" t="n">
        <x:v>9.125</x:v>
      </x:c>
      <x:c r="C135" s="2" t="n">
        <x:v>1</x:v>
      </x:c>
      <x:c r="D135" s="2"/>
      <x:c r="E135" s="2"/>
      <x:c r="F135" s="2"/>
      <x:c r="G135" s="2"/>
      <x:c r="H135" s="2"/>
    </x:row>
    <x:row r="136">
      <x:c r="A136" s="2" t="n">
        <x:v>130</x:v>
      </x:c>
      <x:c r="B136" s="8" t="n">
        <x:v>11.166</x:v>
      </x:c>
      <x:c r="C136" s="2" t="n">
        <x:v>1</x:v>
      </x:c>
      <x:c r="D136" s="2"/>
      <x:c r="E136" s="2"/>
      <x:c r="F136" s="2"/>
      <x:c r="G136" s="2"/>
      <x:c r="H136" s="2"/>
    </x:row>
    <x:row r="137">
      <x:c r="A137" s="2" t="n">
        <x:v>131</x:v>
      </x:c>
      <x:c r="B137" s="8" t="n">
        <x:v>13.756</x:v>
      </x:c>
      <x:c r="C137" s="2" t="n">
        <x:v>1</x:v>
      </x:c>
      <x:c r="D137" s="2"/>
      <x:c r="E137" s="2"/>
      <x:c r="F137" s="2"/>
      <x:c r="G137" s="2"/>
      <x:c r="H137" s="2"/>
    </x:row>
    <x:row r="138">
      <x:c r="A138" s="2" t="n">
        <x:v>132</x:v>
      </x:c>
      <x:c r="B138" s="8" t="n">
        <x:v>23.399</x:v>
      </x:c>
      <x:c r="C138" s="2" t="n">
        <x:v>1</x:v>
      </x:c>
      <x:c r="D138" s="2"/>
      <x:c r="E138" s="2"/>
      <x:c r="F138" s="2"/>
      <x:c r="G138" s="2"/>
      <x:c r="H138" s="2"/>
    </x:row>
    <x:row r="139">
      <x:c r="A139" s="2" t="n">
        <x:v>133</x:v>
      </x:c>
      <x:c r="B139" s="8" t="n">
        <x:v>14.79</x:v>
      </x:c>
      <x:c r="C139" s="2" t="n">
        <x:v>1</x:v>
      </x:c>
      <x:c r="D139" s="2"/>
      <x:c r="E139" s="2"/>
      <x:c r="F139" s="2"/>
      <x:c r="G139" s="2"/>
      <x:c r="H139" s="2"/>
    </x:row>
    <x:row r="140">
      <x:c r="A140" s="2" t="n">
        <x:v>134</x:v>
      </x:c>
      <x:c r="B140" s="8" t="n">
        <x:v>31.265</x:v>
      </x:c>
      <x:c r="C140" s="2" t="n">
        <x:v>1</x:v>
      </x:c>
      <x:c r="D140" s="2"/>
      <x:c r="E140" s="2"/>
      <x:c r="F140" s="2"/>
      <x:c r="G140" s="2"/>
      <x:c r="H140" s="2"/>
    </x:row>
    <x:row r="141">
      <x:c r="A141" s="2" t="n">
        <x:v>135</x:v>
      </x:c>
      <x:c r="B141" s="8" t="n">
        <x:v>31.458</x:v>
      </x:c>
      <x:c r="C141" s="2" t="n">
        <x:v>1</x:v>
      </x:c>
      <x:c r="D141" s="2"/>
      <x:c r="E141" s="2"/>
      <x:c r="F141" s="2"/>
      <x:c r="G141" s="2"/>
      <x:c r="H141" s="2"/>
    </x:row>
    <x:row r="142">
      <x:c r="A142" s="2" t="n">
        <x:v>136</x:v>
      </x:c>
      <x:c r="B142" s="8" t="n">
        <x:v>31.659</x:v>
      </x:c>
      <x:c r="C142" s="2" t="n">
        <x:v>1</x:v>
      </x:c>
      <x:c r="D142" s="2"/>
      <x:c r="E142" s="2"/>
      <x:c r="F142" s="2"/>
      <x:c r="G142" s="2"/>
      <x:c r="H142" s="2"/>
    </x:row>
    <x:row r="143">
      <x:c r="A143" s="2" t="n">
        <x:v>137</x:v>
      </x:c>
      <x:c r="B143" s="8" t="n">
        <x:v>62.218</x:v>
      </x:c>
      <x:c r="C143" s="2" t="n">
        <x:v>1</x:v>
      </x:c>
      <x:c r="D143" s="2"/>
      <x:c r="E143" s="2"/>
      <x:c r="F143" s="2"/>
      <x:c r="G143" s="2"/>
      <x:c r="H143" s="2"/>
    </x:row>
    <x:row r="144">
      <x:c r="A144" s="2" t="n">
        <x:v>138</x:v>
      </x:c>
      <x:c r="B144" s="8" t="n">
        <x:v>9.581</x:v>
      </x:c>
      <x:c r="C144" s="2" t="n">
        <x:v>1</x:v>
      </x:c>
      <x:c r="D144" s="2"/>
      <x:c r="E144" s="2"/>
      <x:c r="F144" s="2"/>
      <x:c r="G144" s="2"/>
      <x:c r="H144" s="2"/>
    </x:row>
    <x:row r="145">
      <x:c r="A145" s="2" t="n">
        <x:v>139</x:v>
      </x:c>
      <x:c r="B145" s="8" t="n">
        <x:v>14.852</x:v>
      </x:c>
      <x:c r="C145" s="2" t="n">
        <x:v>1</x:v>
      </x:c>
      <x:c r="D145" s="2"/>
      <x:c r="E145" s="2"/>
      <x:c r="F145" s="2"/>
      <x:c r="G145" s="2"/>
      <x:c r="H145" s="2"/>
    </x:row>
    <x:row r="146">
      <x:c r="A146" s="2" t="n">
        <x:v>140</x:v>
      </x:c>
      <x:c r="B146" s="8" t="n">
        <x:v>24.385</x:v>
      </x:c>
      <x:c r="C146" s="2" t="n">
        <x:v>1</x:v>
      </x:c>
      <x:c r="D146" s="2"/>
      <x:c r="E146" s="2"/>
      <x:c r="F146" s="2"/>
      <x:c r="G146" s="2"/>
      <x:c r="H146" s="2"/>
    </x:row>
    <x:row r="147">
      <x:c r="A147" s="2" t="n">
        <x:v>141</x:v>
      </x:c>
      <x:c r="B147" s="8" t="n">
        <x:v>13.911</x:v>
      </x:c>
      <x:c r="C147" s="2" t="n">
        <x:v>1</x:v>
      </x:c>
      <x:c r="D147" s="2"/>
      <x:c r="E147" s="2"/>
      <x:c r="F147" s="2"/>
      <x:c r="G147" s="2"/>
      <x:c r="H147" s="2"/>
    </x:row>
    <x:row r="148">
      <x:c r="A148" s="2" t="n">
        <x:v>142</x:v>
      </x:c>
      <x:c r="B148" s="8" t="n">
        <x:v>20.359</x:v>
      </x:c>
      <x:c r="C148" s="2" t="n">
        <x:v>1</x:v>
      </x:c>
      <x:c r="D148" s="2"/>
      <x:c r="E148" s="2"/>
      <x:c r="F148" s="2"/>
      <x:c r="G148" s="2"/>
      <x:c r="H148" s="2"/>
    </x:row>
    <x:row r="149">
      <x:c r="A149" s="2" t="n">
        <x:v>143</x:v>
      </x:c>
      <x:c r="B149" s="8" t="n">
        <x:v>56.642</x:v>
      </x:c>
      <x:c r="C149" s="2" t="n">
        <x:v>1</x:v>
      </x:c>
      <x:c r="D149" s="2"/>
      <x:c r="E149" s="2"/>
      <x:c r="F149" s="2"/>
      <x:c r="G149" s="2"/>
      <x:c r="H149" s="2"/>
    </x:row>
    <x:row r="150">
      <x:c r="A150" s="2" t="n">
        <x:v>144</x:v>
      </x:c>
      <x:c r="B150" s="8" t="n">
        <x:v>40.364</x:v>
      </x:c>
      <x:c r="C150" s="2" t="n">
        <x:v>1</x:v>
      </x:c>
      <x:c r="D150" s="2"/>
      <x:c r="E150" s="2"/>
      <x:c r="F150" s="2"/>
      <x:c r="G150" s="2"/>
      <x:c r="H150" s="2"/>
    </x:row>
    <x:row r="151">
      <x:c r="A151" s="2" t="n">
        <x:v>145</x:v>
      </x:c>
      <x:c r="B151" s="8" t="n">
        <x:v>11.669</x:v>
      </x:c>
      <x:c r="C151" s="2" t="n">
        <x:v>1</x:v>
      </x:c>
      <x:c r="D151" s="2"/>
      <x:c r="E151" s="2"/>
      <x:c r="F151" s="2"/>
      <x:c r="G151" s="2"/>
      <x:c r="H151" s="2"/>
    </x:row>
    <x:row r="152">
      <x:c r="A152" s="2" t="n">
        <x:v>146</x:v>
      </x:c>
      <x:c r="B152" s="8" t="n">
        <x:v>17.153</x:v>
      </x:c>
      <x:c r="C152" s="2" t="n">
        <x:v>1</x:v>
      </x:c>
      <x:c r="D152" s="2"/>
      <x:c r="E152" s="2"/>
      <x:c r="F152" s="2"/>
      <x:c r="G152" s="2"/>
      <x:c r="H152" s="2"/>
    </x:row>
    <x:row r="153">
      <x:c r="A153" s="2" t="n">
        <x:v>147</x:v>
      </x:c>
      <x:c r="B153" s="8" t="n">
        <x:v>15.704</x:v>
      </x:c>
      <x:c r="C153" s="2" t="n">
        <x:v>1</x:v>
      </x:c>
      <x:c r="D153" s="2"/>
      <x:c r="E153" s="2"/>
      <x:c r="F153" s="2"/>
      <x:c r="G153" s="2"/>
      <x:c r="H153" s="2"/>
    </x:row>
    <x:row r="154">
      <x:c r="A154" s="2" t="n">
        <x:v>148</x:v>
      </x:c>
      <x:c r="B154" s="8" t="n">
        <x:v>55.581</x:v>
      </x:c>
      <x:c r="C154" s="2" t="n">
        <x:v>1</x:v>
      </x:c>
      <x:c r="D154" s="2"/>
      <x:c r="E154" s="2"/>
      <x:c r="F154" s="2"/>
      <x:c r="G154" s="2"/>
      <x:c r="H154" s="2"/>
    </x:row>
    <x:row r="155">
      <x:c r="A155" s="2" t="n">
        <x:v>149</x:v>
      </x:c>
      <x:c r="B155" s="8" t="n">
        <x:v>22.585</x:v>
      </x:c>
      <x:c r="C155" s="2" t="n">
        <x:v>1</x:v>
      </x:c>
      <x:c r="D155" s="2"/>
      <x:c r="E155" s="2"/>
      <x:c r="F155" s="2"/>
      <x:c r="G155" s="2"/>
      <x:c r="H155" s="2"/>
    </x:row>
    <x:row r="156">
      <x:c r="A156" s="2" t="n">
        <x:v>150</x:v>
      </x:c>
      <x:c r="B156" s="8" t="n">
        <x:v>114.849</x:v>
      </x:c>
      <x:c r="C156" s="2" t="n">
        <x:v>1</x:v>
      </x:c>
      <x:c r="D156" s="2"/>
      <x:c r="E156" s="2"/>
      <x:c r="F156" s="2"/>
      <x:c r="G156" s="2"/>
      <x:c r="H156" s="2"/>
    </x:row>
    <x:row r="157">
      <x:c r="A157" s="2" t="n">
        <x:v>151</x:v>
      </x:c>
      <x:c r="B157" s="8" t="n">
        <x:v>19.023</x:v>
      </x:c>
      <x:c r="C157" s="2" t="n">
        <x:v>1</x:v>
      </x:c>
      <x:c r="D157" s="2"/>
      <x:c r="E157" s="2"/>
      <x:c r="F157" s="2"/>
      <x:c r="G157" s="2"/>
      <x:c r="H157" s="2"/>
    </x:row>
    <x:row r="158">
      <x:c r="A158" s="2" t="n">
        <x:v>152</x:v>
      </x:c>
      <x:c r="B158" s="8" t="n">
        <x:v>29.013</x:v>
      </x:c>
      <x:c r="C158" s="2" t="n">
        <x:v>1</x:v>
      </x:c>
      <x:c r="D158" s="2"/>
      <x:c r="E158" s="2"/>
      <x:c r="F158" s="2"/>
      <x:c r="G158" s="2"/>
      <x:c r="H158" s="2"/>
    </x:row>
    <x:row r="159">
      <x:c r="A159" s="2" t="n">
        <x:v>153</x:v>
      </x:c>
      <x:c r="B159" s="8" t="n">
        <x:v>113.846</x:v>
      </x:c>
      <x:c r="C159" s="2" t="n">
        <x:v>1</x:v>
      </x:c>
      <x:c r="D159" s="2"/>
      <x:c r="E159" s="2"/>
      <x:c r="F159" s="2"/>
      <x:c r="G159" s="2"/>
      <x:c r="H159" s="2"/>
    </x:row>
    <x:row r="160">
      <x:c r="A160" s="2" t="n">
        <x:v>154</x:v>
      </x:c>
      <x:c r="B160" s="8" t="n">
        <x:v>12.322</x:v>
      </x:c>
      <x:c r="C160" s="2" t="n">
        <x:v>1</x:v>
      </x:c>
      <x:c r="D160" s="2"/>
      <x:c r="E160" s="2"/>
      <x:c r="F160" s="2"/>
      <x:c r="G160" s="2"/>
      <x:c r="H160" s="2"/>
    </x:row>
    <x:row r="161">
      <x:c r="A161" s="2" t="n">
        <x:v>155</x:v>
      </x:c>
      <x:c r="B161" s="8" t="n">
        <x:v>39.876</x:v>
      </x:c>
      <x:c r="C161" s="2" t="n">
        <x:v>1</x:v>
      </x:c>
      <x:c r="D161" s="2"/>
      <x:c r="E161" s="2"/>
      <x:c r="F161" s="2"/>
      <x:c r="G161" s="2"/>
      <x:c r="H161" s="2"/>
    </x:row>
    <x:row r="162">
      <x:c r="A162" s="2" t="n">
        <x:v>156</x:v>
      </x:c>
      <x:c r="B162" s="8" t="n">
        <x:v>51</x:v>
      </x:c>
      <x:c r="C162" s="2" t="n">
        <x:v>1</x:v>
      </x:c>
      <x:c r="D162" s="2"/>
      <x:c r="E162" s="2"/>
      <x:c r="F162" s="2"/>
      <x:c r="G162" s="2"/>
      <x:c r="H162" s="2"/>
    </x:row>
    <x:row r="163">
      <x:c r="A163" s="2" t="n">
        <x:v>157</x:v>
      </x:c>
      <x:c r="B163" s="8" t="n">
        <x:v>32.894</x:v>
      </x:c>
      <x:c r="C163" s="2" t="n">
        <x:v>1</x:v>
      </x:c>
      <x:c r="D163" s="2"/>
      <x:c r="E163" s="2"/>
      <x:c r="F163" s="2"/>
      <x:c r="G163" s="2"/>
      <x:c r="H163" s="2"/>
    </x:row>
    <x:row r="164">
      <x:c r="A164" s="2" t="n">
        <x:v>158</x:v>
      </x:c>
      <x:c r="B164" s="8" t="n">
        <x:v>15.086</x:v>
      </x:c>
      <x:c r="C164" s="2" t="n">
        <x:v>1</x:v>
      </x:c>
      <x:c r="D164" s="2"/>
      <x:c r="E164" s="2"/>
      <x:c r="F164" s="2"/>
      <x:c r="G164" s="2"/>
      <x:c r="H164" s="2"/>
    </x:row>
    <x:row r="165">
      <x:c r="A165" s="2" t="n">
        <x:v>159</x:v>
      </x:c>
      <x:c r="B165" s="8" t="n">
        <x:v>14.923</x:v>
      </x:c>
      <x:c r="C165" s="2" t="n">
        <x:v>1</x:v>
      </x:c>
      <x:c r="D165" s="2"/>
      <x:c r="E165" s="2"/>
      <x:c r="F165" s="2"/>
      <x:c r="G165" s="2"/>
      <x:c r="H165" s="2"/>
    </x:row>
    <x:row r="166">
      <x:c r="A166" s="2" t="n">
        <x:v>160</x:v>
      </x:c>
      <x:c r="B166" s="8" t="n">
        <x:v>46.383</x:v>
      </x:c>
      <x:c r="C166" s="2" t="n">
        <x:v>1</x:v>
      </x:c>
      <x:c r="D166" s="2"/>
      <x:c r="E166" s="2"/>
      <x:c r="F166" s="2"/>
      <x:c r="G166" s="2"/>
      <x:c r="H166" s="2"/>
    </x:row>
    <x:row r="167">
      <x:c r="A167" s="2" t="n">
        <x:v>161</x:v>
      </x:c>
      <x:c r="B167" s="8" t="n">
        <x:v>11.936</x:v>
      </x:c>
      <x:c r="C167" s="2" t="n">
        <x:v>1</x:v>
      </x:c>
      <x:c r="D167" s="2"/>
      <x:c r="E167" s="2"/>
      <x:c r="F167" s="2"/>
      <x:c r="G167" s="2"/>
      <x:c r="H167" s="2"/>
    </x:row>
    <x:row r="168">
      <x:c r="A168" s="2" t="n">
        <x:v>162</x:v>
      </x:c>
      <x:c r="B168" s="8" t="n">
        <x:v>14.406</x:v>
      </x:c>
      <x:c r="C168" s="2" t="n">
        <x:v>1</x:v>
      </x:c>
      <x:c r="D168" s="2"/>
      <x:c r="E168" s="2"/>
      <x:c r="F168" s="2"/>
      <x:c r="G168" s="2"/>
      <x:c r="H168" s="2"/>
    </x:row>
    <x:row r="169">
      <x:c r="A169" s="2" t="n">
        <x:v>163</x:v>
      </x:c>
      <x:c r="B169" s="8" t="n">
        <x:v>17.509</x:v>
      </x:c>
      <x:c r="C169" s="2" t="n">
        <x:v>1</x:v>
      </x:c>
      <x:c r="D169" s="2"/>
      <x:c r="E169" s="2"/>
      <x:c r="F169" s="2"/>
      <x:c r="G169" s="2"/>
      <x:c r="H169" s="2"/>
    </x:row>
    <x:row r="170">
      <x:c r="A170" s="2" t="n">
        <x:v>164</x:v>
      </x:c>
      <x:c r="B170" s="8" t="n">
        <x:v>151.569</x:v>
      </x:c>
      <x:c r="C170" s="2" t="n">
        <x:v>1</x:v>
      </x:c>
      <x:c r="D170" s="2"/>
      <x:c r="E170" s="2"/>
      <x:c r="F170" s="2"/>
      <x:c r="G170" s="2"/>
      <x:c r="H170" s="2"/>
    </x:row>
    <x:row r="171">
      <x:c r="A171" s="2" t="n">
        <x:v>165</x:v>
      </x:c>
      <x:c r="B171" s="8" t="n">
        <x:v>67.93</x:v>
      </x:c>
      <x:c r="C171" s="2" t="n">
        <x:v>1</x:v>
      </x:c>
      <x:c r="D171" s="2"/>
      <x:c r="E171" s="2"/>
      <x:c r="F171" s="2"/>
      <x:c r="G171" s="2"/>
      <x:c r="H171" s="2"/>
    </x:row>
    <x:row r="172">
      <x:c r="A172" s="2" t="n">
        <x:v>166</x:v>
      </x:c>
      <x:c r="B172" s="8" t="n">
        <x:v>11.901</x:v>
      </x:c>
      <x:c r="C172" s="2" t="n">
        <x:v>1</x:v>
      </x:c>
      <x:c r="D172" s="2"/>
      <x:c r="E172" s="2"/>
      <x:c r="F172" s="2"/>
      <x:c r="G172" s="2"/>
      <x:c r="H172" s="2"/>
    </x:row>
    <x:row r="173">
      <x:c r="A173" s="2" t="n">
        <x:v>167</x:v>
      </x:c>
      <x:c r="B173" s="8" t="n">
        <x:v>260.54</x:v>
      </x:c>
      <x:c r="C173" s="2" t="n">
        <x:v>1</x:v>
      </x:c>
      <x:c r="D173" s="2"/>
      <x:c r="E173" s="2"/>
      <x:c r="F173" s="2"/>
      <x:c r="G173" s="2"/>
      <x:c r="H173" s="2"/>
    </x:row>
    <x:row r="174">
      <x:c r="A174" s="2" t="n">
        <x:v>168</x:v>
      </x:c>
      <x:c r="B174" s="8" t="n">
        <x:v>9.244</x:v>
      </x:c>
      <x:c r="C174" s="2" t="n">
        <x:v>1</x:v>
      </x:c>
      <x:c r="D174" s="2"/>
      <x:c r="E174" s="2"/>
      <x:c r="F174" s="2"/>
      <x:c r="G174" s="2"/>
      <x:c r="H174" s="2"/>
    </x:row>
    <x:row r="175">
      <x:c r="A175" s="2" t="n">
        <x:v>169</x:v>
      </x:c>
      <x:c r="B175" s="8" t="n">
        <x:v>13.303</x:v>
      </x:c>
      <x:c r="C175" s="2" t="n">
        <x:v>1</x:v>
      </x:c>
      <x:c r="D175" s="2"/>
      <x:c r="E175" s="2"/>
      <x:c r="F175" s="2"/>
      <x:c r="G175" s="2"/>
      <x:c r="H175" s="2"/>
    </x:row>
    <x:row r="176">
      <x:c r="A176" s="2" t="n">
        <x:v>170</x:v>
      </x:c>
      <x:c r="B176" s="8" t="n">
        <x:v>32.614</x:v>
      </x:c>
      <x:c r="C176" s="2" t="n">
        <x:v>1</x:v>
      </x:c>
      <x:c r="D176" s="2"/>
      <x:c r="E176" s="2"/>
      <x:c r="F176" s="2"/>
      <x:c r="G176" s="2"/>
      <x:c r="H176" s="2"/>
    </x:row>
    <x:row r="177">
      <x:c r="A177" s="2" t="n">
        <x:v>171</x:v>
      </x:c>
      <x:c r="B177" s="8" t="n">
        <x:v>9.324</x:v>
      </x:c>
      <x:c r="C177" s="2" t="n">
        <x:v>1</x:v>
      </x:c>
      <x:c r="D177" s="2"/>
      <x:c r="E177" s="2"/>
      <x:c r="F177" s="2"/>
      <x:c r="G177" s="2"/>
      <x:c r="H177" s="2"/>
    </x:row>
    <x:row r="178">
      <x:c r="A178" s="2" t="n">
        <x:v>172</x:v>
      </x:c>
      <x:c r="B178" s="8" t="n">
        <x:v>122.364</x:v>
      </x:c>
      <x:c r="C178" s="2" t="n">
        <x:v>1</x:v>
      </x:c>
      <x:c r="D178" s="2"/>
      <x:c r="E178" s="2"/>
      <x:c r="F178" s="2"/>
      <x:c r="G178" s="2"/>
      <x:c r="H178" s="2"/>
    </x:row>
    <x:row r="179">
      <x:c r="A179" s="2" t="n">
        <x:v>173</x:v>
      </x:c>
      <x:c r="B179" s="8" t="n">
        <x:v>31.374</x:v>
      </x:c>
      <x:c r="C179" s="2" t="n">
        <x:v>1</x:v>
      </x:c>
      <x:c r="D179" s="2"/>
      <x:c r="E179" s="2"/>
      <x:c r="F179" s="2"/>
      <x:c r="G179" s="2"/>
      <x:c r="H179" s="2"/>
    </x:row>
    <x:row r="180">
      <x:c r="A180" s="2" t="n">
        <x:v>174</x:v>
      </x:c>
      <x:c r="B180" s="8" t="n">
        <x:v>76.776</x:v>
      </x:c>
      <x:c r="C180" s="2" t="n">
        <x:v>1</x:v>
      </x:c>
      <x:c r="D180" s="2"/>
      <x:c r="E180" s="2"/>
      <x:c r="F180" s="2"/>
      <x:c r="G180" s="2"/>
      <x:c r="H180" s="2"/>
    </x:row>
    <x:row r="181">
      <x:c r="A181" s="2" t="n">
        <x:v>175</x:v>
      </x:c>
      <x:c r="B181" s="8" t="n">
        <x:v>24.75</x:v>
      </x:c>
      <x:c r="C181" s="2" t="n">
        <x:v>1</x:v>
      </x:c>
      <x:c r="D181" s="2"/>
      <x:c r="E181" s="2"/>
      <x:c r="F181" s="2"/>
      <x:c r="G181" s="2"/>
      <x:c r="H181" s="2"/>
    </x:row>
    <x:row r="182">
      <x:c r="A182" s="2" t="n">
        <x:v>176</x:v>
      </x:c>
      <x:c r="B182" s="8" t="n">
        <x:v>45.777</x:v>
      </x:c>
      <x:c r="C182" s="2" t="n">
        <x:v>1</x:v>
      </x:c>
      <x:c r="D182" s="2"/>
      <x:c r="E182" s="2"/>
      <x:c r="F182" s="2"/>
      <x:c r="G182" s="2"/>
      <x:c r="H182" s="2"/>
    </x:row>
    <x:row r="183">
      <x:c r="A183" s="2" t="n">
        <x:v>177</x:v>
      </x:c>
      <x:c r="B183" s="8" t="n">
        <x:v>10.841</x:v>
      </x:c>
      <x:c r="C183" s="2" t="n">
        <x:v>1</x:v>
      </x:c>
      <x:c r="D183" s="2"/>
      <x:c r="E183" s="2"/>
      <x:c r="F183" s="2"/>
      <x:c r="G183" s="2"/>
      <x:c r="H183" s="2"/>
    </x:row>
    <x:row r="184">
      <x:c r="A184" s="2" t="n">
        <x:v>178</x:v>
      </x:c>
      <x:c r="B184" s="8" t="n">
        <x:v>14.639</x:v>
      </x:c>
      <x:c r="C184" s="2" t="n">
        <x:v>1</x:v>
      </x:c>
      <x:c r="D184" s="2"/>
      <x:c r="E184" s="2"/>
      <x:c r="F184" s="2"/>
      <x:c r="G184" s="2"/>
      <x:c r="H184" s="2"/>
    </x:row>
    <x:row r="185">
      <x:c r="A185" s="2" t="n">
        <x:v>179</x:v>
      </x:c>
      <x:c r="B185" s="8" t="n">
        <x:v>8.312</x:v>
      </x:c>
      <x:c r="C185" s="2" t="n">
        <x:v>1</x:v>
      </x:c>
      <x:c r="D185" s="2"/>
      <x:c r="E185" s="2"/>
      <x:c r="F185" s="2"/>
      <x:c r="G185" s="2"/>
      <x:c r="H185" s="2"/>
    </x:row>
    <x:row r="186">
      <x:c r="A186" s="2" t="n">
        <x:v>180</x:v>
      </x:c>
      <x:c r="B186" s="8" t="n">
        <x:v>11.292</x:v>
      </x:c>
      <x:c r="C186" s="2" t="n">
        <x:v>1</x:v>
      </x:c>
      <x:c r="D186" s="2"/>
      <x:c r="E186" s="2"/>
      <x:c r="F186" s="2"/>
      <x:c r="G186" s="2"/>
      <x:c r="H186" s="2"/>
    </x:row>
    <x:row r="187">
      <x:c r="A187" s="2" t="n">
        <x:v>181</x:v>
      </x:c>
      <x:c r="B187" s="8" t="n">
        <x:v>13.192</x:v>
      </x:c>
      <x:c r="C187" s="2" t="n">
        <x:v>1</x:v>
      </x:c>
      <x:c r="D187" s="2"/>
      <x:c r="E187" s="2"/>
      <x:c r="F187" s="2"/>
      <x:c r="G187" s="2"/>
      <x:c r="H187" s="2"/>
    </x:row>
    <x:row r="188">
      <x:c r="A188" s="2" t="n">
        <x:v>182</x:v>
      </x:c>
      <x:c r="B188" s="8" t="n">
        <x:v>15.484</x:v>
      </x:c>
      <x:c r="C188" s="2" t="n">
        <x:v>1</x:v>
      </x:c>
      <x:c r="D188" s="2"/>
      <x:c r="E188" s="2"/>
      <x:c r="F188" s="2"/>
      <x:c r="G188" s="2"/>
      <x:c r="H188" s="2"/>
    </x:row>
    <x:row r="189">
      <x:c r="A189" s="2" t="n">
        <x:v>183</x:v>
      </x:c>
      <x:c r="B189" s="8" t="n">
        <x:v>26.666</x:v>
      </x:c>
      <x:c r="C189" s="2" t="n">
        <x:v>1</x:v>
      </x:c>
      <x:c r="D189" s="2"/>
      <x:c r="E189" s="2"/>
      <x:c r="F189" s="2"/>
      <x:c r="G189" s="2"/>
      <x:c r="H189" s="2"/>
    </x:row>
    <x:row r="190">
      <x:c r="A190" s="2" t="n">
        <x:v>184</x:v>
      </x:c>
      <x:c r="B190" s="8" t="n">
        <x:v>11.362</x:v>
      </x:c>
      <x:c r="C190" s="2" t="n">
        <x:v>1</x:v>
      </x:c>
      <x:c r="D190" s="2"/>
      <x:c r="E190" s="2"/>
      <x:c r="F190" s="2"/>
      <x:c r="G190" s="2"/>
      <x:c r="H190" s="2"/>
    </x:row>
    <x:row r="191">
      <x:c r="A191" s="2" t="n">
        <x:v>185</x:v>
      </x:c>
      <x:c r="B191" s="8" t="n">
        <x:v>10.929</x:v>
      </x:c>
      <x:c r="C191" s="2" t="n">
        <x:v>1</x:v>
      </x:c>
      <x:c r="D191" s="2"/>
      <x:c r="E191" s="2"/>
      <x:c r="F191" s="2"/>
      <x:c r="G191" s="2"/>
      <x:c r="H191" s="2"/>
    </x:row>
    <x:row r="192">
      <x:c r="A192" s="2" t="n">
        <x:v>186</x:v>
      </x:c>
      <x:c r="B192" s="8" t="n">
        <x:v>65.799</x:v>
      </x:c>
      <x:c r="C192" s="2" t="n">
        <x:v>1</x:v>
      </x:c>
      <x:c r="D192" s="2"/>
      <x:c r="E192" s="2"/>
      <x:c r="F192" s="2"/>
      <x:c r="G192" s="2"/>
      <x:c r="H192" s="2"/>
    </x:row>
    <x:row r="193">
      <x:c r="A193" s="2" t="n">
        <x:v>187</x:v>
      </x:c>
      <x:c r="B193" s="8" t="n">
        <x:v>76.803</x:v>
      </x:c>
      <x:c r="C193" s="2" t="n">
        <x:v>1</x:v>
      </x:c>
      <x:c r="D193" s="2"/>
      <x:c r="E193" s="2"/>
      <x:c r="F193" s="2"/>
      <x:c r="G193" s="2"/>
      <x:c r="H193" s="2"/>
    </x:row>
    <x:row r="194">
      <x:c r="A194" s="2" t="n">
        <x:v>188</x:v>
      </x:c>
      <x:c r="B194" s="8" t="n">
        <x:v>14.776</x:v>
      </x:c>
      <x:c r="C194" s="2" t="n">
        <x:v>1</x:v>
      </x:c>
      <x:c r="D194" s="2"/>
      <x:c r="E194" s="2"/>
      <x:c r="F194" s="2"/>
      <x:c r="G194" s="2"/>
      <x:c r="H194" s="2"/>
    </x:row>
    <x:row r="195">
      <x:c r="A195" s="2" t="n">
        <x:v>189</x:v>
      </x:c>
      <x:c r="B195" s="8" t="n">
        <x:v>113.616</x:v>
      </x:c>
      <x:c r="C195" s="2" t="n">
        <x:v>1</x:v>
      </x:c>
      <x:c r="D195" s="2"/>
      <x:c r="E195" s="2"/>
      <x:c r="F195" s="2"/>
      <x:c r="G195" s="2"/>
      <x:c r="H195" s="2"/>
    </x:row>
    <x:row r="196">
      <x:c r="A196" s="2" t="n">
        <x:v>190</x:v>
      </x:c>
      <x:c r="B196" s="8" t="n">
        <x:v>31.974</x:v>
      </x:c>
      <x:c r="C196" s="2" t="n">
        <x:v>1</x:v>
      </x:c>
      <x:c r="D196" s="2"/>
      <x:c r="E196" s="2"/>
      <x:c r="F196" s="2"/>
      <x:c r="G196" s="2"/>
      <x:c r="H196" s="2"/>
    </x:row>
    <x:row r="197">
      <x:c r="A197" s="2" t="n">
        <x:v>191</x:v>
      </x:c>
      <x:c r="B197" s="8" t="n">
        <x:v>7.241</x:v>
      </x:c>
      <x:c r="C197" s="2" t="n">
        <x:v>1</x:v>
      </x:c>
      <x:c r="D197" s="2"/>
      <x:c r="E197" s="2"/>
      <x:c r="F197" s="2"/>
      <x:c r="G197" s="2"/>
      <x:c r="H197" s="2"/>
    </x:row>
    <x:row r="198">
      <x:c r="A198" s="2" t="n">
        <x:v>192</x:v>
      </x:c>
      <x:c r="B198" s="8" t="n">
        <x:v>9.56</x:v>
      </x:c>
      <x:c r="C198" s="2" t="n">
        <x:v>1</x:v>
      </x:c>
      <x:c r="D198" s="2"/>
      <x:c r="E198" s="2"/>
      <x:c r="F198" s="2"/>
      <x:c r="G198" s="2"/>
      <x:c r="H198" s="2"/>
    </x:row>
    <x:row r="199">
      <x:c r="A199" s="2" t="n">
        <x:v>193</x:v>
      </x:c>
      <x:c r="B199" s="8" t="n">
        <x:v>27.013</x:v>
      </x:c>
      <x:c r="C199" s="2" t="n">
        <x:v>1</x:v>
      </x:c>
      <x:c r="D199" s="2"/>
      <x:c r="E199" s="2"/>
      <x:c r="F199" s="2"/>
      <x:c r="G199" s="2"/>
      <x:c r="H199" s="2"/>
    </x:row>
    <x:row r="200">
      <x:c r="A200" s="2" t="n">
        <x:v>194</x:v>
      </x:c>
      <x:c r="B200" s="8" t="n">
        <x:v>8.933</x:v>
      </x:c>
      <x:c r="C200" s="2" t="n">
        <x:v>1</x:v>
      </x:c>
      <x:c r="D200" s="2"/>
      <x:c r="E200" s="2"/>
      <x:c r="F200" s="2"/>
      <x:c r="G200" s="2"/>
      <x:c r="H200" s="2"/>
    </x:row>
    <x:row r="201">
      <x:c r="A201" s="2" t="n">
        <x:v>195</x:v>
      </x:c>
      <x:c r="B201" s="8" t="n">
        <x:v>8.682</x:v>
      </x:c>
      <x:c r="C201" s="2" t="n">
        <x:v>1</x:v>
      </x:c>
      <x:c r="D201" s="2"/>
      <x:c r="E201" s="2"/>
      <x:c r="F201" s="2"/>
      <x:c r="G201" s="2"/>
      <x:c r="H201" s="2"/>
    </x:row>
    <x:row r="202">
      <x:c r="A202" s="2" t="n">
        <x:v>196</x:v>
      </x:c>
      <x:c r="B202" s="8" t="n">
        <x:v>45.374</x:v>
      </x:c>
      <x:c r="C202" s="2" t="n">
        <x:v>1</x:v>
      </x:c>
      <x:c r="D202" s="2"/>
      <x:c r="E202" s="2"/>
      <x:c r="F202" s="2"/>
      <x:c r="G202" s="2"/>
      <x:c r="H202" s="2"/>
    </x:row>
    <x:row r="203">
      <x:c r="A203" s="2" t="n">
        <x:v>197</x:v>
      </x:c>
      <x:c r="B203" s="8" t="n">
        <x:v>15.457</x:v>
      </x:c>
      <x:c r="C203" s="2" t="n">
        <x:v>1</x:v>
      </x:c>
      <x:c r="D203" s="2"/>
      <x:c r="E203" s="2"/>
      <x:c r="F203" s="2"/>
      <x:c r="G203" s="2"/>
      <x:c r="H203" s="2"/>
    </x:row>
    <x:row r="204">
      <x:c r="A204" s="2" t="n">
        <x:v>198</x:v>
      </x:c>
      <x:c r="B204" s="8" t="n">
        <x:v>25.257</x:v>
      </x:c>
      <x:c r="C204" s="2" t="n">
        <x:v>1</x:v>
      </x:c>
      <x:c r="D204" s="2"/>
      <x:c r="E204" s="2"/>
      <x:c r="F204" s="2"/>
      <x:c r="G204" s="2"/>
      <x:c r="H204" s="2"/>
    </x:row>
    <x:row r="205">
      <x:c r="A205" s="2" t="n">
        <x:v>199</x:v>
      </x:c>
      <x:c r="B205" s="8" t="n">
        <x:v>13.315</x:v>
      </x:c>
      <x:c r="C205" s="2" t="n">
        <x:v>1</x:v>
      </x:c>
      <x:c r="D205" s="2"/>
      <x:c r="E205" s="2"/>
      <x:c r="F205" s="2"/>
      <x:c r="G205" s="2"/>
      <x:c r="H205" s="2"/>
    </x:row>
    <x:row r="206">
      <x:c r="A206" s="2"/>
      <x:c r="B206" s="2"/>
      <x:c r="C206" s="2"/>
      <x:c r="D206" s="2"/>
      <x:c r="E206" s="2"/>
      <x:c r="F206" s="2"/>
      <x:c r="G206" s="2"/>
      <x:c r="H206" s="2"/>
    </x:row>
    <x:row r="207">
      <x:c r="A207" s="2"/>
      <x:c r="B207" s="2"/>
      <x:c r="C207" s="2"/>
      <x:c r="D207" s="2"/>
      <x:c r="E207" s="2"/>
      <x:c r="F207" s="2"/>
      <x:c r="G207" s="2"/>
      <x:c r="H207" s="2"/>
    </x:row>
    <x:row r="208">
      <x:c r="A208" s="2"/>
      <x:c r="B208" s="2"/>
      <x:c r="C208" s="2"/>
      <x:c r="D208" s="2"/>
      <x:c r="E208" s="2"/>
      <x:c r="F208" s="2"/>
      <x:c r="G208" s="2"/>
      <x:c r="H208" s="2"/>
    </x:row>
    <x:row r="209">
      <x:c r="A209" s="2"/>
      <x:c r="B209" s="2"/>
      <x:c r="C209" s="2"/>
      <x:c r="D209" s="2"/>
      <x:c r="E209" s="2"/>
      <x:c r="F209" s="2"/>
      <x:c r="G209" s="2"/>
      <x:c r="H209" s="2"/>
    </x:row>
    <x:row r="210">
      <x:c r="A210" s="2"/>
      <x:c r="B210" s="2"/>
      <x:c r="C210" s="2"/>
      <x:c r="D210" s="2"/>
      <x:c r="E210" s="2"/>
      <x:c r="F210" s="2"/>
      <x:c r="G210" s="2"/>
      <x:c r="H210" s="2"/>
    </x:row>
    <x:row r="211">
      <x:c r="A211" s="2"/>
      <x:c r="B211" s="2"/>
      <x:c r="C211" s="2"/>
      <x:c r="D211" s="2"/>
      <x:c r="E211" s="2"/>
      <x:c r="F211" s="2"/>
      <x:c r="G211" s="2"/>
      <x:c r="H211" s="2"/>
    </x:row>
    <x:row r="212">
      <x:c r="A212" s="2"/>
      <x:c r="B212" s="2"/>
      <x:c r="C212" s="2"/>
      <x:c r="D212" s="2"/>
      <x:c r="E212" s="2"/>
      <x:c r="F212" s="2"/>
      <x:c r="G212" s="2"/>
      <x:c r="H212" s="2"/>
    </x:row>
    <x:row r="213">
      <x:c r="A213" s="2"/>
      <x:c r="B213" s="2"/>
      <x:c r="C213" s="2"/>
      <x:c r="D213" s="2"/>
      <x:c r="E213" s="2"/>
      <x:c r="F213" s="2"/>
      <x:c r="G213" s="2"/>
      <x:c r="H213" s="2"/>
    </x:row>
    <x:row r="214">
      <x:c r="A214" s="2"/>
      <x:c r="B214" s="2"/>
      <x:c r="C214" s="2"/>
      <x:c r="D214" s="2"/>
      <x:c r="E214" s="2"/>
      <x:c r="F214" s="2"/>
      <x:c r="G214" s="2"/>
      <x:c r="H214" s="2"/>
    </x:row>
    <x:row r="215">
      <x:c r="A215" s="2"/>
      <x:c r="B215" s="2"/>
      <x:c r="C215" s="2"/>
      <x:c r="D215" s="2"/>
      <x:c r="E215" s="2"/>
      <x:c r="F215" s="2"/>
      <x:c r="G215" s="2"/>
      <x:c r="H215" s="2"/>
    </x:row>
    <x:row r="216">
      <x:c r="A216" s="2"/>
      <x:c r="B216" s="2"/>
      <x:c r="C216" s="2"/>
      <x:c r="D216" s="2"/>
      <x:c r="E216" s="2"/>
      <x:c r="F216" s="2"/>
      <x:c r="G216" s="2"/>
      <x:c r="H216" s="2"/>
    </x:row>
    <x:row r="217">
      <x:c r="A217" s="2"/>
      <x:c r="B217" s="2"/>
      <x:c r="C217" s="2"/>
      <x:c r="D217" s="2"/>
      <x:c r="E217" s="2"/>
      <x:c r="F217" s="2"/>
      <x:c r="G217" s="2"/>
      <x:c r="H217" s="2"/>
    </x:row>
    <x:row r="218">
      <x:c r="A218" s="2"/>
      <x:c r="B218" s="2"/>
      <x:c r="C218" s="2"/>
      <x:c r="D218" s="2"/>
      <x:c r="E218" s="2"/>
      <x:c r="F218" s="2"/>
      <x:c r="G218" s="2"/>
      <x:c r="H218" s="2"/>
    </x:row>
    <x:row r="219">
      <x:c r="A219" s="2"/>
      <x:c r="B219" s="2"/>
      <x:c r="C219" s="2"/>
      <x:c r="D219" s="2"/>
      <x:c r="E219" s="2"/>
      <x:c r="F219" s="2"/>
      <x:c r="G219" s="2"/>
      <x:c r="H219" s="2"/>
    </x:row>
    <x:row r="220">
      <x:c r="A220" s="2"/>
      <x:c r="B220" s="2"/>
      <x:c r="C220" s="2"/>
      <x:c r="D220" s="2"/>
      <x:c r="E220" s="2"/>
      <x:c r="F220" s="2"/>
      <x:c r="G220" s="2"/>
      <x:c r="H220" s="2"/>
    </x:row>
    <x:row r="221">
      <x:c r="A221" s="2"/>
      <x:c r="B221" s="2"/>
      <x:c r="C221" s="2"/>
      <x:c r="D221" s="2"/>
      <x:c r="E221" s="2"/>
      <x:c r="F221" s="2"/>
      <x:c r="G221" s="2"/>
      <x:c r="H221" s="2"/>
    </x:row>
    <x:row r="222">
      <x:c r="A222" s="2"/>
      <x:c r="B222" s="2"/>
      <x:c r="C222" s="2"/>
      <x:c r="D222" s="2"/>
      <x:c r="E222" s="2"/>
      <x:c r="F222" s="2"/>
      <x:c r="G222" s="2"/>
      <x:c r="H222" s="2"/>
    </x:row>
    <x:row r="223">
      <x:c r="A223" s="2"/>
      <x:c r="B223" s="2"/>
      <x:c r="C223" s="2"/>
      <x:c r="D223" s="2"/>
      <x:c r="E223" s="2"/>
      <x:c r="F223" s="2"/>
      <x:c r="G223" s="2"/>
      <x:c r="H223" s="2"/>
    </x:row>
    <x:row r="224">
      <x:c r="A224" s="2"/>
      <x:c r="B224" s="2"/>
      <x:c r="C224" s="2"/>
      <x:c r="D224" s="2"/>
      <x:c r="E224" s="2"/>
      <x:c r="F224" s="2"/>
      <x:c r="G224" s="2"/>
      <x:c r="H224" s="2"/>
    </x:row>
    <x:row r="225">
      <x:c r="A225" s="2"/>
      <x:c r="B225" s="2"/>
      <x:c r="C225" s="2"/>
      <x:c r="D225" s="2"/>
      <x:c r="E225" s="2"/>
      <x:c r="F225" s="2"/>
      <x:c r="G225" s="2"/>
      <x:c r="H225" s="2"/>
    </x:row>
    <x:row r="226">
      <x:c r="A226" s="2"/>
      <x:c r="B226" s="2"/>
      <x:c r="C226" s="2"/>
      <x:c r="D226" s="2"/>
      <x:c r="E226" s="2"/>
      <x:c r="F226" s="2"/>
      <x:c r="G226" s="2"/>
      <x:c r="H226" s="2"/>
    </x:row>
    <x:row r="227">
      <x:c r="A227" s="2"/>
      <x:c r="B227" s="2"/>
      <x:c r="C227" s="2"/>
      <x:c r="D227" s="2"/>
      <x:c r="E227" s="2"/>
      <x:c r="F227" s="2"/>
      <x:c r="G227" s="2"/>
      <x:c r="H227" s="2"/>
    </x:row>
    <x:row r="228">
      <x:c r="A228" s="2"/>
      <x:c r="B228" s="2"/>
      <x:c r="C228" s="2"/>
      <x:c r="D228" s="2"/>
      <x:c r="E228" s="2"/>
      <x:c r="F228" s="2"/>
      <x:c r="G228" s="2"/>
      <x:c r="H228" s="2"/>
    </x:row>
    <x:row r="229">
      <x:c r="A229" s="2"/>
      <x:c r="B229" s="2"/>
      <x:c r="C229" s="2"/>
      <x:c r="D229" s="2"/>
      <x:c r="E229" s="2"/>
      <x:c r="F229" s="2"/>
      <x:c r="G229" s="2"/>
      <x:c r="H229" s="2"/>
    </x:row>
    <x:row r="230">
      <x:c r="A230" s="2"/>
      <x:c r="B230" s="2"/>
      <x:c r="C230" s="2"/>
      <x:c r="D230" s="2"/>
      <x:c r="E230" s="2"/>
      <x:c r="F230" s="2"/>
      <x:c r="G230" s="2"/>
      <x:c r="H230" s="2"/>
    </x:row>
  </x:sheetData>
  <x:pageMargins left="0.7" right="0.7" top="0.75" bottom="0.75" header="0.3" footer="0.3"/>
</x:worksheet>
</file>